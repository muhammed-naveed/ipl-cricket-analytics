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vee\Downloads\"/>
    </mc:Choice>
  </mc:AlternateContent>
  <xr:revisionPtr revIDLastSave="0" documentId="13_ncr:1_{C55AA307-6530-4E36-B73B-BF94D2D9416E}" xr6:coauthVersionLast="47" xr6:coauthVersionMax="47" xr10:uidLastSave="{00000000-0000-0000-0000-000000000000}"/>
  <bookViews>
    <workbookView xWindow="-108" yWindow="-108" windowWidth="23256" windowHeight="13176" tabRatio="500"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<sst xmlns="http://schemas.openxmlformats.org/spreadsheetml/2006/main" count="896" uniqueCount="466">
  <si>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</si>
  <si>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</si>
  <si>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</si>
  <si>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</si>
  <si>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</si>
  <si>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</si>
  <si>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</si>
  <si>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</si>
  <si>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</si>
  <si>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</si>
  <si>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</si>
  <si>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</si>
  <si>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</si>
  <si>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</si>
  <si>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</si>
  <si>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</si>
  <si>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</si>
  <si>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</si>
  <si>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</si>
  <si>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</si>
  <si>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</si>
  <si>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</si>
  <si>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</si>
  <si>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</si>
  <si>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</si>
  <si>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</si>
  <si>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</si>
  <si>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</si>
  <si>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</si>
  <si>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</si>
  <si>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</si>
  <si>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</si>
  <si>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</si>
  <si>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</si>
  <si>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</si>
  <si>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</si>
  <si>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</si>
  <si>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</si>
  <si>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</si>
  <si>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IPL Cricket Analytics — Match &amp; Ball-by-Ball Dataset (Robomy OJT, Semester 3, Step 1)</t>
  </si>
  <si>
    <t>Trainee name</t>
  </si>
  <si>
    <t>Date prepared</t>
  </si>
  <si>
    <t>11-09-2026</t>
  </si>
  <si>
    <t>Dataset source</t>
  </si>
  <si>
    <t>Instructor/client-provided export: ipl.db (SQLite database) plus five accompanying CSV extracts (matches.csv, deliveries.csv, players.csv, teams.csv, venues.csv). Original upstream provider not stated in the files themselves.</t>
  </si>
  <si>
    <t>Business domain</t>
  </si>
  <si>
    <t>Sports Analytics — Cricket (Indian Premier League, T20 club competition)</t>
  </si>
  <si>
    <t>Business context — why this data matters</t>
  </si>
  <si>
    <t>Enables performance analysis across IPL seasons 2008-2026 (team win rates, batting/bowling performance, toss impact, venue scoring trends, Player-of-the-Match frequency) — the kind of questions a broadcaster, franchise analytics team, or fantasy-sports platform would ask.</t>
  </si>
  <si>
    <t>Total files/tables in this dataset</t>
  </si>
  <si>
    <t>5 source files, each mirrored 1:1 as a table in ipl.db. The database also contains one additional derived table, matches_clean (see Data Quality Log #6), giving 6 tables in ipl.db but only 5 with a matching CSV.</t>
  </si>
  <si>
    <t>Total approximate size (all files combined)</t>
  </si>
  <si>
    <t>~44.8 MB across the 5 CSV files (deliveries.csv is 44.44 MB of that); ipl.db itself is ~55.5 MB; ~100.2 MB combined across all 6 uploaded files.</t>
  </si>
  <si>
    <t>Blue = file info, once per file. Purple/navy/gold = one sheet's worth of columns — copy just that part if a file has more than one sheet.</t>
  </si>
  <si>
    <t>FILE / TABLE NAME</t>
  </si>
  <si>
    <t>deliveries.csv</t>
  </si>
  <si>
    <t>FILE DESCRIPTION</t>
  </si>
  <si>
    <t>Ball-by-ball record for every delivery bowled across all matches (fact table). One row per delivery — by far the largest file in the dataset.</t>
  </si>
  <si>
    <t>FILE STATS</t>
  </si>
  <si>
    <t>Format</t>
  </si>
  <si>
    <t>File Size</t>
  </si>
  <si>
    <t>Sampling used?</t>
  </si>
  <si>
    <t>CSV</t>
  </si>
  <si>
    <t>44.44 MB</t>
  </si>
  <si>
    <t>No — full file opened (288,226 rows, well under Excel's ~1,048,576-row limit).</t>
  </si>
  <si>
    <t>SHEET NAME</t>
  </si>
  <si>
    <t>deliveries</t>
  </si>
  <si>
    <t>SHEET DESCRIPTION</t>
  </si>
  <si>
    <t>One row per ball bowled: who was batting/bowling, runs scored, extras, wickets and dismissal detail.</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</si>
  <si>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</si>
  <si>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</si>
  <si>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</si>
  <si>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</si>
  <si>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</si>
  <si>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</si>
  <si>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</si>
  <si>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</si>
  <si>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</si>
  <si>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</si>
  <si>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</si>
  <si>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</si>
  <si>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</si>
  <si>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</si>
  <si>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</si>
  <si>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</si>
  <si>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</si>
  <si>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</si>
  <si>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</si>
  <si>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</si>
  <si>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</si>
  <si>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</si>
  <si>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</si>
  <si>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</si>
  <si>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</si>
  <si>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</si>
  <si>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</si>
  <si>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</si>
  <si>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</si>
  <si>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</si>
  <si>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</si>
  <si>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</si>
  <si>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</si>
  <si>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</si>
  <si>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</si>
  <si>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</si>
  <si>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</si>
  <si>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Year of the IPL season this delivery belongs to.</t>
  </si>
  <si>
    <t>ID of the match this delivery belongs to.</t>
  </si>
  <si>
    <t>Name of the batter facing this delivery.</t>
  </si>
  <si>
    <t>Name of the bowler delivering this ball.</t>
  </si>
  <si>
    <t>Name of the batter standing at the non-striker's end for this delivery.</t>
  </si>
  <si>
    <t>Over number within the innings (0-indexed, so 0-19 for a 20-over innings).</t>
  </si>
  <si>
    <t>Ball number within the over (0-indexed, normally 0-5).</t>
  </si>
  <si>
    <t>Runs scored off the bat by the batter on this delivery.</t>
  </si>
  <si>
    <t>Total extra runs conceded on this delivery (wides + no-balls + byes + leg-byes + penalty combined).</t>
  </si>
  <si>
    <t>Total runs scored on this delivery (batter_runs + extras).</t>
  </si>
  <si>
    <t>Batting handedness of the batter on strike for this delivery.</t>
  </si>
  <si>
    <t>Bowling style of the bowler delivering this ball.</t>
  </si>
  <si>
    <t>Name of the batter dismissed on this delivery, if a wicket fell.</t>
  </si>
  <si>
    <t>Fielder(s) credited with the dismissal (e.g. the catcher, or fielders in a run-out), stored as a text-formatted list.</t>
  </si>
  <si>
    <t>Flag: 1 if this delivery resulted in a dismissal, 0 otherwise.</t>
  </si>
  <si>
    <t>Flag: 1 if this delivery was called a wide.</t>
  </si>
  <si>
    <t>Flag: 1 if this delivery was called a no-ball.</t>
  </si>
  <si>
    <t>Flag: 1 if runs on this delivery were credited as leg-byes.</t>
  </si>
  <si>
    <t>Flag: 1 if runs on this delivery were credited as byes.</t>
  </si>
  <si>
    <t>Flag: 1 if this delivery included a penalty-run award.</t>
  </si>
  <si>
    <t>Runs conceded specifically as wide-ball extras (0 when the delivery isn't a wide).</t>
  </si>
  <si>
    <t>Runs conceded specifically as no-ball extras.</t>
  </si>
  <si>
    <t>Runs credited as leg-byes.</t>
  </si>
  <si>
    <t>Runs credited as byes.</t>
  </si>
  <si>
    <t>Runs credited as a penalty award.</t>
  </si>
  <si>
    <t>Method of dismissal (bowled, caught, run out, lbw, stumped, etc.).</t>
  </si>
  <si>
    <t>Flag: 1 if this delivery occurred during a super over (tie-breaker).</t>
  </si>
  <si>
    <t>Innings number within the match.</t>
  </si>
  <si>
    <t>Numeric team ID of the batting side for this delivery.</t>
  </si>
  <si>
    <t>Numeric team ID of the bowling side for this delivery.</t>
  </si>
  <si>
    <t>Name of the batting team for this delivery.</t>
  </si>
  <si>
    <t>Name of the bowling team for this delivery.</t>
  </si>
  <si>
    <t>Data Type</t>
  </si>
  <si>
    <t>ID/Key</t>
  </si>
  <si>
    <t>Categorical</t>
  </si>
  <si>
    <t>Numeric</t>
  </si>
  <si>
    <t>Text</t>
  </si>
  <si>
    <t>Boolean/Flag</t>
  </si>
  <si>
    <t>Key Type</t>
  </si>
  <si>
    <t>Foreign Key (matches.season_id)</t>
  </si>
  <si>
    <t>Foreign Key (matches.match_id)</t>
  </si>
  <si>
    <t>Foreign Key (by name, to players.player_name)</t>
  </si>
  <si>
    <t>None</t>
  </si>
  <si>
    <t>Foreign Key (teams.team_id)</t>
  </si>
  <si>
    <t>Foreign Key (by name, to teams.team_name)</t>
  </si>
  <si>
    <t>Sample Values</t>
  </si>
  <si>
    <t>2008, 2017, 2018 ...</t>
  </si>
  <si>
    <t>335982, 1082591, 1082593 ...</t>
  </si>
  <si>
    <t>SC Ganguly, BB McCullum, RT Ponting ...</t>
  </si>
  <si>
    <t>P Kumar, Z Khan, AA Noffke ...</t>
  </si>
  <si>
    <t>BB McCullum, SC Ganguly, RT Ponting ...</t>
  </si>
  <si>
    <t>0, 1, 2 ...</t>
  </si>
  <si>
    <t>0, 4, 6 ...</t>
  </si>
  <si>
    <t>1, 0, 5 ...</t>
  </si>
  <si>
    <t>1, 0, 4 ...</t>
  </si>
  <si>
    <t>Left hand Bat, Right hand Bat ...</t>
  </si>
  <si>
    <t>Right arm Medium, Left arm Fast medium, Right arm Fast medium ...</t>
  </si>
  <si>
    <t>SC Ganguly, RT Ponting, DJ Hussey ...</t>
  </si>
  <si>
    <t>['JH Kallis'], ['P Kumar'], ['CL White'] ...</t>
  </si>
  <si>
    <t>0, 1 ...</t>
  </si>
  <si>
    <t>1, 0 ...</t>
  </si>
  <si>
    <t>0, 1, 5 ...</t>
  </si>
  <si>
    <t>0, 4, 1 ...</t>
  </si>
  <si>
    <t>0, 5 ...</t>
  </si>
  <si>
    <t>caught, bowled, run out ...</t>
  </si>
  <si>
    <t>1, 2, 3 ...</t>
  </si>
  <si>
    <t>6, 1, 2 ...</t>
  </si>
  <si>
    <t>1, 6, 2 ...</t>
  </si>
  <si>
    <t>Kolkata Knight Riders, Royal Challengers Bangalore, Sunrisers Hyderabad ...</t>
  </si>
  <si>
    <t>Royal Challengers Bangalore, Kolkata Knight Riders, Sunrisers Hyderabad ...</t>
  </si>
  <si>
    <t>Distinct Count</t>
  </si>
  <si>
    <t>Unique Values (if ≤20)</t>
  </si>
  <si>
    <t>2008, 2009, 2010, 2011, 2012, 2013, 2014, 2015, 2016, 2017, 2018, 2019, 2020, 2021, 2022, 2023, 2024, 2025, 2026 (19)</t>
  </si>
  <si>
    <t>—</t>
  </si>
  <si>
    <t>0, 1, 10, 11, 12, 13, 14, 15, 16, 17, 18, 19, 2, 3, 4, 5, 6, 7, 8, 9 (20)</t>
  </si>
  <si>
    <t>0, 1, 10, 2, 3, 4, 5, 6, 7, 8, 9 (11)</t>
  </si>
  <si>
    <t>0, 1, 2, 3, 4, 5, 6 (7)</t>
  </si>
  <si>
    <t>0, 1, 2, 3, 4, 5, 7 (7)</t>
  </si>
  <si>
    <t>0, 1, 2, 3, 4, 5, 6, 7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</si>
  <si>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</si>
  <si>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</si>
  <si>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</si>
  <si>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</si>
  <si>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</si>
  <si>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</si>
  <si>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</si>
  <si>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</si>
  <si>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1, 129, 134, 1414, 1419, 2, 252, 3, 4, 494, 5, 6, 614, 615 (14)</t>
  </si>
  <si>
    <t>Chennai Super Kings, Delhi Capitals, Gujarat Lions, Gujarat Titans, Kochi Tuskers Kerala, Kolkata Knight Riders, Lucknow Super Giants, Mumbai Indians, Pune Warriors, Punjab Kings, Rajasthan Royals, Rising Pune Supergiant, Royal Challengers Bangalore, Sunrisers Hyderabad (14)</t>
  </si>
  <si>
    <t>% Missing</t>
  </si>
  <si>
    <t>0.0%</t>
  </si>
  <si>
    <t>0.08%</t>
  </si>
  <si>
    <t>0.12%</t>
  </si>
  <si>
    <t>95.02%</t>
  </si>
  <si>
    <t>Data Quality Notes</t>
  </si>
  <si>
    <t>None noted.</t>
  </si>
  <si>
    <t>Values above 5 occur because wides/no-balls are illegal deliveries that get an extra ball_number without advancing the over — expected, not an error.</t>
  </si>
  <si>
    <t>Denormalised copy of players.bat_style; missing for &lt;0.1% of rows where the batter isn't in players.csv.</t>
  </si>
  <si>
    <t>Denormalised copy of players.bowl_style; missing for &lt;0.2% of rows.</t>
  </si>
  <si>
    <t>Missing for ~95% of rows — populated only on the deliveries that produced a wicket, which matches is_wicket.</t>
  </si>
  <si>
    <t>Missing for ~95% of rows (wicket deliveries only), and can still be blank on some wicket rows where no fielder is involved (e.g. bowled, lbw).</t>
  </si>
  <si>
    <t>Rare — only two possible values (0 or 5) in this data.</t>
  </si>
  <si>
    <t>Missing for ~95% of rows — populated only on wicket deliveries, matching is_wicket/player_out.</t>
  </si>
  <si>
    <t>Values 1-2 are the normal innings; 3-6 cover super-over innings for matches that went to a tie-breaker.</t>
  </si>
  <si>
    <t>Denormalised copy of batting_team_id — redundant but convenient for readability.</t>
  </si>
  <si>
    <t>Denormalised copy of bowling_team_id — redundant but convenient for readability.</t>
  </si>
  <si>
    <t>players.csv</t>
  </si>
  <si>
    <t>Master list of players who have appeared in the dataset (dimension table). One row per player.</t>
  </si>
  <si>
    <t>0.06 MB</t>
  </si>
  <si>
    <t>No — full file opened (799 rows).</t>
  </si>
  <si>
    <t>players</t>
  </si>
  <si>
    <t>One row per player, giving ID, playing name, full name, batting hand and bowling style.</t>
  </si>
  <si>
    <t>player_id</t>
  </si>
  <si>
    <t>player_name</t>
  </si>
  <si>
    <t>bat_style</t>
  </si>
  <si>
    <t>bowl_style</t>
  </si>
  <si>
    <t>field_pos</t>
  </si>
  <si>
    <t>player_full_name</t>
  </si>
  <si>
    <t>Unique numeric ID for each player.</t>
  </si>
  <si>
    <t>Short/common playing name as it appears on scorecards. This is the value used in deliveries.batter, deliveries.bowler, deliveries.non_striker and deliveries.player_out.</t>
  </si>
  <si>
    <t>Batting handedness of the player.</t>
  </si>
  <si>
    <t>Bowling style/type of the player (e.g. Right arm Offbreak, Legbreak, Left arm Fast medium).</t>
  </si>
  <si>
    <t>Intended to capture a player's fielding/keeping role.</t>
  </si>
  <si>
    <t>Player's full/legal name.</t>
  </si>
  <si>
    <t>Primary Key</t>
  </si>
  <si>
    <t>Foreign Key (referenced by name from deliveries.csv)</t>
  </si>
  <si>
    <t>963, 53, 12 ...</t>
  </si>
  <si>
    <t>MN Samuels, SB Jakati, DA Warner ...</t>
  </si>
  <si>
    <t>Right hand Bat, Left hand Bat ...</t>
  </si>
  <si>
    <t>Right arm Offbreak, Slow Left arm Orthodox, Legbreak ...</t>
  </si>
  <si>
    <t xml:space="preserve"> , Wicketkeeper, Occasional Wicketkeeper ...</t>
  </si>
  <si>
    <t>Marlon Nathaniel Samuels, Shadab Bashir Jakati, David Andrew Warner ...</t>
  </si>
  <si>
    <t xml:space="preserve"> , Occasional Wicketkeeper, Right arm Fast, Right arm Medium, Slow Left arm Orthodox, Wicketkeeper, Wicketkeeper Batter (7)</t>
  </si>
  <si>
    <t>2.38%</t>
  </si>
  <si>
    <t>11.01%</t>
  </si>
  <si>
    <t>Missing for ~2% of players — expected for specialist batters/wicketkeepers who don't bowl.</t>
  </si>
  <si>
    <t>Values are inconsistent — mostly blank/whitespace, some hold genuine roles ('Wicketkeeper'), but others duplicate bowling-style text ('Right arm Fast', 'Slow Left arm Orthodox') that looks copied from bowl_style rather than a fielding position. Treat this column as unreliable until cleaned; missing for ~11% of rows.</t>
  </si>
  <si>
    <t>teams.csv</t>
  </si>
  <si>
    <t>Master list of IPL franchises (dimension table). One row per team.</t>
  </si>
  <si>
    <t>&lt; 0.01 MB</t>
  </si>
  <si>
    <t>No — full file opened (16 rows).</t>
  </si>
  <si>
    <t>teams</t>
  </si>
  <si>
    <t>One row per IPL franchise, giving its ID and name.</t>
  </si>
  <si>
    <t>team_id</t>
  </si>
  <si>
    <t>team_name</t>
  </si>
  <si>
    <t>Unique numeric ID for each IPL franchise, assigned by the source system.</t>
  </si>
  <si>
    <t>Full franchise name as used in match records.</t>
  </si>
  <si>
    <t>Royal Challengers Bangalore, Sunrisers Hyderabad, Mumbai Indians ...</t>
  </si>
  <si>
    <t>1, 1068, 129, 134, 1414, 1419, 2, 252, 3, 3604, 4, 494, 5, 6, 614, 615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</si>
  <si>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</si>
  <si>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IDs are not sequential (e.g. 1068, 3604) for franchises added in later seasons (Gujarat Titans, Lucknow Super Giants) — expected, not an error.</t>
  </si>
  <si>
    <t>'Rising Pune Supergiant' and 'Rising Pune Supergiants' both appear as separate rows for what is the same 2016-17 franchise — a naming inconsistency to fix before joining on team_name. Older rebranded names (e.g. Delhi Daredevils, Kings XI Punjab) are not kept as separate rows; only the current name is stored.</t>
  </si>
  <si>
    <t>venues.csv</t>
  </si>
  <si>
    <t>Master list of cricket grounds/stadiums used across IPL seasons (dimension table). One row per venue.</t>
  </si>
  <si>
    <t>No — full file opened (63 rows).</t>
  </si>
  <si>
    <t>venues</t>
  </si>
  <si>
    <t>One row per venue, giving its ID, name and city.</t>
  </si>
  <si>
    <t>venue_id</t>
  </si>
  <si>
    <t>venue</t>
  </si>
  <si>
    <t>city</t>
  </si>
  <si>
    <t>Unique numeric ID for each cricket ground/stadium.</t>
  </si>
  <si>
    <t>Name of the stadium/ground hosting the match.</t>
  </si>
  <si>
    <t>City where the venue is located.</t>
  </si>
  <si>
    <t>M Chinnaswamy Stadium, Rajiv Gandhi International Stadium, Uppal, Maharashtra Cricket Association Stadium ...</t>
  </si>
  <si>
    <t>Bangalore, Hyderabad, Pune ...</t>
  </si>
  <si>
    <t>3.17%</t>
  </si>
  <si>
    <t>A few venue names include the sub-ground in parentheses/comma form (e.g. 'Rajiv Gandhi International Stadium, Uppal'), which is fine but worth being consistent about when matching against matches.venue text.</t>
  </si>
  <si>
    <t>Missing for a small number of venues (~3%) — likely overseas/neutral venues where city wasn't recorded consistently.</t>
  </si>
  <si>
    <t>matches.csv</t>
  </si>
  <si>
    <t>One row per IPL match (2008-2026): teams, venue, toss, result and awards. Sits between the team/venue/player dimensions and the ball-by-ball deliveries fact table.</t>
  </si>
  <si>
    <t>0.28 MB</t>
  </si>
  <si>
    <t>No — full file opened (1,212 rows).</t>
  </si>
  <si>
    <t>matches</t>
  </si>
  <si>
    <t>One row per match, covering scheduling info, teams/toss/result, and award/venue references.</t>
  </si>
  <si>
    <t>balls_per_over</t>
  </si>
  <si>
    <t>match_date</t>
  </si>
  <si>
    <t>event_name</t>
  </si>
  <si>
    <t>match_number</t>
  </si>
  <si>
    <t>gender</t>
  </si>
  <si>
    <t>match_type</t>
  </si>
  <si>
    <t>format</t>
  </si>
  <si>
    <t>overs</t>
  </si>
  <si>
    <t>season</t>
  </si>
  <si>
    <t>team_type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</si>
  <si>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</si>
  <si>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</si>
  <si>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</si>
  <si>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</si>
  <si>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</si>
  <si>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</si>
  <si>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</si>
  <si>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</si>
  <si>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</si>
  <si>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</si>
  <si>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</si>
  <si>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</si>
  <si>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</si>
  <si>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</si>
  <si>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 for each match. Joins to deliveries.match_id.</t>
  </si>
  <si>
    <t>Numeric year identifying the IPL season the match belongs to.</t>
  </si>
  <si>
    <t>Number of legal balls per over (standard cricket rule).</t>
  </si>
  <si>
    <t>City where the match was played.</t>
  </si>
  <si>
    <t>Calendar date the match was played (YYYY-MM-DD).</t>
  </si>
  <si>
    <t>Name of the tournament.</t>
  </si>
  <si>
    <t>Match's sequential number within its season (e.g. 1 = tournament opener).</t>
  </si>
  <si>
    <t>Gender category of the competition.</t>
  </si>
  <si>
    <t>Match format code.</t>
  </si>
  <si>
    <t>Match format name.</t>
  </si>
  <si>
    <t>Number of overs per innings for this match format.</t>
  </si>
  <si>
    <t>Season label as text.</t>
  </si>
  <si>
    <t>Level of competition.</t>
  </si>
  <si>
    <t>Name of the stadium hosting the match.</t>
  </si>
  <si>
    <t>Name of the team that won the pre-match coin toss.</t>
  </si>
  <si>
    <t>Name of the first-listed team in the match.</t>
  </si>
  <si>
    <t>Name of the second-listed team in the match.</t>
  </si>
  <si>
    <t>What the toss-winning team elected to do first.</t>
  </si>
  <si>
    <t>Name of the team that won the match.</t>
  </si>
  <si>
    <t>Margin of victory in runs, populated only when the team batting first won the match.</t>
  </si>
  <si>
    <t>Margin of victory in wickets, populated only when the chasing team won the match.</t>
  </si>
  <si>
    <t>Match outcome type.</t>
  </si>
  <si>
    <t>Name of the player awarded 'Player of the Match'.</t>
  </si>
  <si>
    <t>Numeric team ID for team1.</t>
  </si>
  <si>
    <t>Numeric team ID for team2.</t>
  </si>
  <si>
    <t>Numeric team ID of the toss-winning team.</t>
  </si>
  <si>
    <t>Numeric team ID of the match-winning team.</t>
  </si>
  <si>
    <t>Numeric player ID of the Player of the Match.</t>
  </si>
  <si>
    <t>Date/Time</t>
  </si>
  <si>
    <t>Foreign Key (season)</t>
  </si>
  <si>
    <t>Foreign Key (by name, to venues.venue)</t>
  </si>
  <si>
    <t>Foreign Key (players.player_id)</t>
  </si>
  <si>
    <t>335982, 1082591, 1082592 ...</t>
  </si>
  <si>
    <t>6 ...</t>
  </si>
  <si>
    <t>2008-04-18, 2017-04-05, 2017-04-06 ...</t>
  </si>
  <si>
    <t>Indian Premier League ...</t>
  </si>
  <si>
    <t>1.0, 2.0, 3.0 ...</t>
  </si>
  <si>
    <t>male ...</t>
  </si>
  <si>
    <t>T20 ...</t>
  </si>
  <si>
    <t>20 ...</t>
  </si>
  <si>
    <t>club ...</t>
  </si>
  <si>
    <t>Royal Challengers Bangalore, Rising Pune Supergiant, Kolkata Knight Riders ...</t>
  </si>
  <si>
    <t>Royal Challengers Bangalore, Sunrisers Hyderabad, Rising Pune Supergiant ...</t>
  </si>
  <si>
    <t>Kolkata Knight Riders, Royal Challengers Bangalore, Mumbai Indians ...</t>
  </si>
  <si>
    <t>field, bat ...</t>
  </si>
  <si>
    <t>Kolkata Knight Riders, Sunrisers Hyderabad, Rising Pune Supergiant ...</t>
  </si>
  <si>
    <t>140.0, 35.0, 15.0 ...</t>
  </si>
  <si>
    <t>7.0, 10.0, 6.0 ...</t>
  </si>
  <si>
    <t>win, tie, no result ...</t>
  </si>
  <si>
    <t>BB McCullum, Yuvraj Singh, SPD Smith ...</t>
  </si>
  <si>
    <t>1, 2, 4 ...</t>
  </si>
  <si>
    <t>6, 1, 3 ...</t>
  </si>
  <si>
    <t>1, 4, 6 ...</t>
  </si>
  <si>
    <t>6, 2, 4 ...</t>
  </si>
  <si>
    <t>46.0, 15.0, 36.0 ...</t>
  </si>
  <si>
    <t>6 (1)</t>
  </si>
  <si>
    <t>Indian Premier League (1)</t>
  </si>
  <si>
    <t>male (1)</t>
  </si>
  <si>
    <t>T20 (1)</t>
  </si>
  <si>
    <t>20 (1)</t>
  </si>
  <si>
    <t>2008, 2009, 2010, 2011, 2012, 2013, 2014, 2015, 2016, 2017, 2018, 2019, 2020/21, 2021, 2022, 2023, 2024, 2025, 2026 (19)</t>
  </si>
  <si>
    <t>club (1)</t>
  </si>
  <si>
    <t>bat, field (2)</t>
  </si>
  <si>
    <t>1.0, 10.0, 2.0, 3.0, 4.0, 5.0, 6.0, 7.0, 8.0, 9.0 (10)</t>
  </si>
  <si>
    <t>no result, tie, win (3)</t>
  </si>
  <si>
    <t>4.21%</t>
  </si>
  <si>
    <t>5.78%</t>
  </si>
  <si>
    <t>54.95%</t>
  </si>
  <si>
    <t>47.11%</t>
  </si>
  <si>
    <t>0.74%</t>
  </si>
  <si>
    <t>Data runs through season 2026, i.e. includes matches beyond this dictionary's preparation date — confirm with the data owner whether the latest season is complete or still in progress.</t>
  </si>
  <si>
    <t>Constant value (6) for every row — carries no analytical information, safe to ignore or drop.</t>
  </si>
  <si>
    <t>Missing for ~4% of matches — mainly venues where city wasn't recorded (e.g. some overseas legs).</t>
  </si>
  <si>
    <t>Constant value ('Indian Premier League') for every row — redundant column, safe to ignore.</t>
  </si>
  <si>
    <t>Missing for ~6% of matches — these are the named playoff fixtures (Qualifier 1/2, Eliminator, Final) which aren't given a plain sequential number in the source.</t>
  </si>
  <si>
    <t>Constant value ('male') for every row — redundant column.</t>
  </si>
  <si>
    <t>Constant value ('T20') for every row — redundant, duplicates the 'format' column.</t>
  </si>
  <si>
    <t>Constant value ('T20') for every row — duplicates match_type.</t>
  </si>
  <si>
    <t>Constant value (20) for every row — redundant column.</t>
  </si>
  <si>
    <t>One value ('2020/21') is formatted differently from the rest (which are plain years) — that's the COVID-delayed season played in the UAE. Standardise before grouping/sorting by season as text.</t>
  </si>
  <si>
    <t>Constant value ('club') for every row — redundant column.</t>
  </si>
  <si>
    <t>Joined to venues.csv by matching text, not by venue_id — check spelling matches exactly (e.g. trailing sub-ground names) before joining.</t>
  </si>
  <si>
    <t>'team1' is simply the first team listed for the fixture, not necessarily the team that batted first — use toss_decision/innings order for that.</t>
  </si>
  <si>
    <t>Missing (~55%) whenever the match was instead won by wickets, tied, or had no result — expected, not an error; win_by_runs and win_by_wickets are mutually exclusive.</t>
  </si>
  <si>
    <t>Missing (~47%) whenever the match was won by runs, tied, or had no result — complementary to win_by_runs.</t>
  </si>
  <si>
    <t>Missing for &lt;1% of matches — matches with no result/abandoned games have no award.</t>
  </si>
  <si>
    <t>Fully populated even though a handful of matches have result = 'tie' or 'no result' — confirm with data owner how those cases are encoded (e.g. super-over winner used for ties).</t>
  </si>
  <si>
    <t>Missing for the same &lt;1% of matches as player_of_match.</t>
  </si>
  <si>
    <t>How the files/tables join. Every dataset in this programme is relational — this tab should never be empty.</t>
  </si>
  <si>
    <t>Table A</t>
  </si>
  <si>
    <t>Key Column (A)</t>
  </si>
  <si>
    <t>Table B</t>
  </si>
  <si>
    <t>Key Column (B)</t>
  </si>
  <si>
    <t>Relationship Type</t>
  </si>
  <si>
    <t>Description</t>
  </si>
  <si>
    <t>One-to-Many</t>
  </si>
  <si>
    <t>Every match has many ball-by-ball delivery rows (288,226 deliveries across 1,212 matches, avg ~238/match). Verified 0 orphan deliveries (every deliveries.match_id exists in matches.match_id).</t>
  </si>
  <si>
    <t>Many-to-One</t>
  </si>
  <si>
    <t>Numeric ID of the first-listed team in the fixture. Verified 0 orphans against teams.team_id.</t>
  </si>
  <si>
    <t>Numeric ID of the second-listed team in the fixture. Verified 0 orphans.</t>
  </si>
  <si>
    <t>Numeric ID of the team that won the pre-match toss. Verified 0 orphans.</t>
  </si>
  <si>
    <t>Numeric ID of the winning team. Fully populated (0 NULLs) even for the 25 matches with result = 'tie' or 'no result' — confirm with data owner how those are encoded (e.g. super-over winner used for ties).</t>
  </si>
  <si>
    <t>Batting side on each delivery. Verified 0 orphans.</t>
  </si>
  <si>
    <t>Bowling side on each delivery. Verified 0 orphans.</t>
  </si>
  <si>
    <t>Player awarded Player of the Match. 0.74% NULL (9 'no result' matches with no award — the text column player_of_match is an empty string, not NULL, on those same rows; see Data Quality Log #3). 0 orphans among populated values.</t>
  </si>
  <si>
    <t>batter / bowler / non_striker / player_out</t>
  </si>
  <si>
    <t>Many-to-One (name-based, not schema-enforced)</t>
  </si>
  <si>
    <t>deliveries stores player names, not player_id — this join is not a declared foreign key in the SQLite schema. Verified by value: every distinct name in batter (727), bowler (568), non_striker (715) and player_out (676) exists in players.player_name — 0 orphans, but future data loads should re-check for name-spelling drift.</t>
  </si>
  <si>
    <t>matches has no venue_id column, so this join is text-based only. Verified all 59 distinct match venues match a venues.venue value exactly — 0 orphans — but exact-string matching is fragile (see Data Quality Log #7).</t>
  </si>
  <si>
    <t>Log issues as you find them during inspection — don't wait until the end.</t>
  </si>
  <si>
    <t>#</t>
  </si>
  <si>
    <t>File / Column Affected</t>
  </si>
  <si>
    <t>Issue Description</t>
  </si>
  <si>
    <t>Severity</t>
  </si>
  <si>
    <t>Recommended Action</t>
  </si>
  <si>
    <t>Status</t>
  </si>
  <si>
    <t>teams.csv / team_name</t>
  </si>
  <si>
    <t>'Rising Pune Supergiant' (team_id 4) and 'Rising Pune Supergiants' (team_id 3604) both appear as separate rows for what is the same 2016-17 franchise.</t>
  </si>
  <si>
    <t>Medium</t>
  </si>
  <si>
    <t>Do not join or aggregate on team_name alone for this franchise; use team_id, or standardize the two spellings before text-based joins/grouping.</t>
  </si>
  <si>
    <t>Open</t>
  </si>
  <si>
    <t>matches.csv / season</t>
  </si>
  <si>
    <t>One value, '2020/21', is formatted differently from all other seasons (plain 4-digit years) — it is the COVID-delayed season played in the UAE.</t>
  </si>
  <si>
    <t>Low</t>
  </si>
  <si>
    <t>Standardize to a single numeric season_year before grouping/sorting by season as text. Note: ipl.db already provides this via the extra matches_clean.season_year column (see issue #6).</t>
  </si>
  <si>
    <t>matches.csv / player_of_match</t>
  </si>
  <si>
    <t>Stores an empty string (""), not NULL, for the 9 'no result' matches that have no award. A NULL-based missing check on this text column reports 0% missing, while the correctly-NULL player_of_match_id reports 0.74% missing for the same 9 rows.</t>
  </si>
  <si>
    <t>When calculating % missing for text columns, explicitly treat empty/whitespace strings as missing, not just NULL, and document that methodology.</t>
  </si>
  <si>
    <t>players.csv / field_pos</t>
  </si>
  <si>
    <t>Values are inconsistent — mostly blank/whitespace, some hold genuine roles ('Wicketkeeper'), others duplicate bowl_style text ('Right arm Fast', 'Slow Left arm Orthodox') that looks copied from the wrong column. Missing for ~11% of rows.</t>
  </si>
  <si>
    <t>Treat this column as unreliable until manually cleaned; do not use for fielding-position analysis as-is.</t>
  </si>
  <si>
    <t>matches.csv / balls_per_over, event_name, gender, match_type, format, overs, team_type</t>
  </si>
  <si>
    <t>Seven columns hold a single constant value across all 1,212 rows (e.g. format is always 'T20', gender always 'male').</t>
  </si>
  <si>
    <t>Safe to exclude from analytical queries — they carry no discriminating information in this dataset, though they may matter if the dataset is later extended with other formats/genders.</t>
  </si>
  <si>
    <t>ipl.db (schema-level)</t>
  </si>
  <si>
    <t>The database contains a 6th table, matches_clean (1,212 rows x 29 cols), with no corresponding CSV file and not mentioned in the original file inventory. It is identical to matches with one extra column, season_year, that resolves the '2020/21' text-formatting issue into a clean integer.</t>
  </si>
  <si>
    <t>Confirm with the data owner whether matches_clean is the intended source of truth for season-based queries or an intermediate artifact that should be dropped/documented separately.</t>
  </si>
  <si>
    <t>venues.csv / venue</t>
  </si>
  <si>
    <t>A few venue names embed the sub-ground in parentheses/comma form (e.g. 'Rajiv Gandhi International Stadium, Uppal'), which is fine on its own but must match exactly against matches.venue text since there is no venue_id in matches.</t>
  </si>
  <si>
    <t>Confirm exact-string agreement between venues.venue and matches.venue before joining (verified 0 mismatches in this snapshot); re-check on any data refresh.</t>
  </si>
  <si>
    <t>venues.csv / city</t>
  </si>
  <si>
    <t>Missing for ~3% of venues (2 of 63) — likely overseas/neutral venues where city wasn't recorded consistently.</t>
  </si>
  <si>
    <t>Confirm with the data owner rather than imputing a city for these venues.</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</si>
  <si>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</si>
  <si>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</si>
  <si>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</si>
  <si>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</si>
  <si>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</si>
  <si>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</si>
  <si>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Match, Delivery (ball), Player, Team, Venue, Season — a classic star-schema: matches and deliveries are fact tables (deliveries is the ball-by-ball grain, matches is the match grain), while players, teams and venues are dimension tables.</t>
  </si>
  <si>
    <t>Overall data quality rating (Good / Fair / Poor) and why</t>
  </si>
  <si>
    <t>Good. Zero duplicate rows in any table, zero orphan records across all 10 verified relationships, zero PK-uniqueness violations, and internal arithmetic checks (extras = wide+no-ball+leg-bye+bye+penalty; total_runs = batter_runs+extras) hold for all 288,226 deliveries with no mismatches. The 8 logged issues are cosmetic/naming (one duplicated franchise name, one non-standard season label, a text field with mixed-quality free text, and an undocumented 6th DB table) rather than corruption or missing structural data.</t>
  </si>
  <si>
    <t>Is this dataset ready for the SQL step as-is?</t>
  </si>
  <si>
    <t>Yes, for the CSV/DB tables as documented — referential integrity, types and row/column counts are all verified and clean. Two things to resolve first for accurate season/team_name aggregation: standardize 'Rising Pune Supergiant(s)' team_name, and decide whether to use matches.season or matches_clean.season_year for season grouping.</t>
  </si>
  <si>
    <t>Business questions this dataset can answer</t>
  </si>
  <si>
    <t>Which teams have the most wins, and how does toss decision (bat/field) relate to match outcome? Which players have scored the most runs, taken the most wickets, or won the most Player-of-the-Match awards? Which venues produce the highest-scoring matches, and how has scoring changed by season (2008-2026)?</t>
  </si>
  <si>
    <t>Business questions this dataset CANNOT answer (data not available)</t>
  </si>
  <si>
    <t>Cannot reliably analyse fielding position/wicketkeeper role (players.field_pos is ~11% missing and inconsistently recorded). Cannot analyse match formats other than T20, or genders other than male — every match in this dataset is men's T20. Cannot analyse partnerships or strike rotation directly (no ball-by-ball score/target-remaining column), and dismissal fielder detail is only available for the ~5% of deliveries that produced a wicket.</t>
  </si>
  <si>
    <t>Prepared by</t>
  </si>
  <si>
    <t>Claude (AI data assistant) — verified directly against ipl.db and the source CSVs</t>
  </si>
  <si>
    <t>Date</t>
  </si>
  <si>
    <t>Muhammed Naveed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</si>
</sst>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10"/>
      <color rgb="FF1A1A1A"/>
      <name val="Arial"/>
      <charset val="1"/>
    </font>
    <font>
      <b/>
      <sz val="8.5"/>
      <color rgb="FF5F5E5A"/>
      <name val="Arial"/>
      <charset val="1"/>
    </font>
    <font>
      <b/>
      <sz val="9.5"/>
      <color rgb="FF1A1A1A"/>
      <name val="Arial"/>
      <charset val="1"/>
    </font>
    <font>
      <sz val="11"/>
      <color rgb="FF5F5E5A"/>
      <name val="Cambria"/>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9">
    <xf numFmtId="0" fontId="0" fillId="0" borderId="0" xfId="0"/>
    <xf numFmtId="0" fontId="4" fillId="2" borderId="1" xfId="0" applyFont="1" applyFill="1" applyBorder="1" applyAlignment="1">
      <alignment horizontal="left" vertical="center" wrapText="1" indent="1"/>
    </xf>
    <xf numFmtId="0" fontId="8" fillId="6" borderId="1" xfId="0" applyFont="1" applyFill="1" applyBorder="1" applyAlignment="1">
      <alignment horizontal="left" vertical="center"/>
    </xf>
    <xf numFmtId="0" fontId="4" fillId="2" borderId="1" xfId="0" applyFont="1" applyFill="1" applyBorder="1" applyAlignment="1">
      <alignment vertical="top" wrapText="1"/>
    </xf>
    <xf numFmtId="0" fontId="7" fillId="2" borderId="2" xfId="0" applyFont="1" applyFill="1" applyBorder="1" applyAlignment="1">
      <alignment horizontal="left" vertical="center" wrapText="1" indent="1"/>
    </xf>
    <xf numFmtId="0" fontId="2" fillId="0" borderId="0" xfId="0" applyFont="1"/>
    <xf numFmtId="0" fontId="1" fillId="0" borderId="0" xfId="0" applyFont="1"/>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4" fillId="2" borderId="1" xfId="0" applyFont="1" applyFill="1" applyBorder="1" applyAlignment="1">
      <alignment vertical="top" wrapText="1"/>
    </xf>
    <xf numFmtId="0" fontId="8" fillId="6" borderId="1" xfId="0" applyFont="1" applyFill="1" applyBorder="1" applyAlignment="1">
      <alignment horizontal="left" vertical="center"/>
    </xf>
    <xf numFmtId="0" fontId="4" fillId="2"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4" fillId="2"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7"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4" fillId="2" borderId="1" xfId="0" applyNumberFormat="1" applyFont="1" applyFill="1" applyBorder="1" applyAlignment="1">
      <alignment horizontal="left" vertical="center" wrapText="1"/>
    </xf>
    <xf numFmtId="0" fontId="10" fillId="3" borderId="1" xfId="0" applyFont="1" applyFill="1" applyBorder="1" applyAlignment="1">
      <alignment horizontal="left" vertical="center" wrapText="1"/>
    </xf>
    <xf numFmtId="3" fontId="10" fillId="3" borderId="1" xfId="0" applyNumberFormat="1" applyFont="1" applyFill="1" applyBorder="1" applyAlignment="1">
      <alignment horizontal="left" vertical="center" wrapText="1"/>
    </xf>
    <xf numFmtId="0" fontId="11" fillId="7"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7" t="s">
        <v>0</v>
      </c>
    </row>
    <row r="3" spans="2:3" x14ac:dyDescent="0.3">
      <c r="B3" s="8" t="s">
        <v>1</v>
      </c>
    </row>
    <row r="5" spans="2:3" ht="39" customHeight="1" x14ac:dyDescent="0.3">
      <c r="B5" s="9" t="s">
        <v>2</v>
      </c>
      <c r="C5" s="10" t="s">
        <v>3</v>
      </c>
    </row>
    <row r="7" spans="2:3" x14ac:dyDescent="0.3">
      <c r="B7" s="9" t="s">
        <v>4</v>
      </c>
      <c r="C7" s="11" t="s">
        <v>5</v>
      </c>
    </row>
    <row r="8" spans="2:3" x14ac:dyDescent="0.3">
      <c r="B8" s="10" t="s">
        <v>6</v>
      </c>
      <c r="C8" s="10" t="s">
        <v>7</v>
      </c>
    </row>
    <row r="9" spans="2:3" ht="26.25" customHeight="1" x14ac:dyDescent="0.3">
      <c r="B9" s="10" t="s">
        <v>8</v>
      </c>
      <c r="C9" s="10" t="s">
        <v>9</v>
      </c>
    </row>
    <row r="10" spans="2:3" ht="26.25" customHeight="1" x14ac:dyDescent="0.3">
      <c r="B10" s="10" t="s">
        <v>10</v>
      </c>
      <c r="C10" s="10" t="s">
        <v>11</v>
      </c>
    </row>
    <row r="11" spans="2:3" ht="26.25" customHeight="1" x14ac:dyDescent="0.3">
      <c r="B11" s="10" t="s">
        <v>12</v>
      </c>
      <c r="C11" s="10" t="s">
        <v>13</v>
      </c>
    </row>
    <row r="12" spans="2:3" ht="26.25" customHeight="1" x14ac:dyDescent="0.3">
      <c r="B12" s="10" t="s">
        <v>14</v>
      </c>
      <c r="C12" s="10" t="s">
        <v>15</v>
      </c>
    </row>
    <row r="14" spans="2:3" ht="144.75" customHeight="1" x14ac:dyDescent="0.3">
      <c r="B14" s="9" t="s">
        <v>16</v>
      </c>
      <c r="C14" s="10" t="s">
        <v>17</v>
      </c>
    </row>
    <row r="16" spans="2:3" ht="64.5" customHeight="1" x14ac:dyDescent="0.3">
      <c r="B16" s="9" t="s">
        <v>18</v>
      </c>
      <c r="C16" s="10" t="s">
        <v>19</v>
      </c>
    </row>
    <row r="18" spans="2:3" ht="49.5" customHeight="1" x14ac:dyDescent="0.3">
      <c r="B18" s="9" t="s">
        <v>20</v>
      </c>
      <c r="C18" s="10" t="s">
        <v>21</v>
      </c>
    </row>
    <row r="20" spans="2:3" ht="64.5" customHeight="1" x14ac:dyDescent="0.3">
      <c r="B20" s="9" t="s">
        <v>22</v>
      </c>
      <c r="C20" s="10" t="s">
        <v>23</v>
      </c>
    </row>
    <row r="22" spans="2:3" ht="90" customHeight="1" x14ac:dyDescent="0.3">
      <c r="B22" s="9" t="s">
        <v>24</v>
      </c>
      <c r="C22" s="10" t="s">
        <v>25</v>
      </c>
    </row>
    <row r="24" spans="2:3" x14ac:dyDescent="0.3">
      <c r="B24" s="9" t="s">
        <v>26</v>
      </c>
    </row>
    <row r="25" spans="2:3" x14ac:dyDescent="0.3">
      <c r="B25" s="12" t="s">
        <v>27</v>
      </c>
      <c r="C25" s="11" t="s">
        <v>28</v>
      </c>
    </row>
    <row r="26" spans="2:3" ht="26.25" customHeight="1" x14ac:dyDescent="0.3">
      <c r="B26" s="13" t="s">
        <v>29</v>
      </c>
      <c r="C26" s="10" t="s">
        <v>30</v>
      </c>
    </row>
    <row r="27" spans="2:3" x14ac:dyDescent="0.3">
      <c r="B27" s="14" t="s">
        <v>31</v>
      </c>
      <c r="C27" s="11" t="s">
        <v>32</v>
      </c>
    </row>
    <row r="28" spans="2:3" ht="26.25" customHeight="1" x14ac:dyDescent="0.3">
      <c r="B28" s="15" t="s">
        <v>33</v>
      </c>
      <c r="C28" s="10" t="s">
        <v>34</v>
      </c>
    </row>
    <row r="31" spans="2:3" ht="26.25" customHeight="1" x14ac:dyDescent="0.3">
      <c r="B31" s="9" t="s">
        <v>35</v>
      </c>
      <c r="C31" s="10"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D19" sqref="D19"/>
    </sheetView>
  </sheetViews>
  <sheetFormatPr defaultColWidth="8.6640625" defaultRowHeight="14.4" x14ac:dyDescent="0.3"/>
  <cols>
    <col min="1" max="1" width="3" customWidth="1"/>
    <col min="2" max="2" width="30" customWidth="1"/>
    <col min="3" max="3" width="70" customWidth="1"/>
  </cols>
  <sheetData>
    <row r="2" spans="2:3" ht="21" customHeight="1" x14ac:dyDescent="0.4">
      <c r="B2" s="7" t="s">
        <v>6</v>
      </c>
    </row>
    <row r="3" spans="2:3" x14ac:dyDescent="0.3">
      <c r="B3" s="8" t="s">
        <v>37</v>
      </c>
    </row>
    <row r="5" spans="2:3" ht="19.5" customHeight="1" x14ac:dyDescent="0.3">
      <c r="B5" s="16" t="s">
        <v>38</v>
      </c>
      <c r="C5" s="17" t="s">
        <v>39</v>
      </c>
    </row>
    <row r="6" spans="2:3" ht="19.5" customHeight="1" x14ac:dyDescent="0.3">
      <c r="B6" s="16" t="s">
        <v>40</v>
      </c>
      <c r="C6" s="17" t="s">
        <v>465</v>
      </c>
    </row>
    <row r="7" spans="2:3" ht="19.5" customHeight="1" x14ac:dyDescent="0.3">
      <c r="B7" s="16" t="s">
        <v>41</v>
      </c>
      <c r="C7" s="17" t="s">
        <v>42</v>
      </c>
    </row>
    <row r="8" spans="2:3" ht="19.5" customHeight="1" x14ac:dyDescent="0.3">
      <c r="B8" s="16" t="s">
        <v>43</v>
      </c>
      <c r="C8" s="17" t="s">
        <v>44</v>
      </c>
    </row>
    <row r="9" spans="2:3" ht="19.5" customHeight="1" x14ac:dyDescent="0.3">
      <c r="B9" s="16" t="s">
        <v>45</v>
      </c>
      <c r="C9" s="17" t="s">
        <v>46</v>
      </c>
    </row>
    <row r="10" spans="2:3" ht="51" customHeight="1" x14ac:dyDescent="0.3">
      <c r="B10" s="16" t="s">
        <v>47</v>
      </c>
      <c r="C10" s="17" t="s">
        <v>48</v>
      </c>
    </row>
    <row r="11" spans="2:3" ht="36.6" customHeight="1" x14ac:dyDescent="0.3">
      <c r="B11" s="16" t="s">
        <v>49</v>
      </c>
      <c r="C11" s="17" t="s">
        <v>50</v>
      </c>
    </row>
    <row r="12" spans="2:3" ht="31.5" customHeight="1" x14ac:dyDescent="0.3">
      <c r="B12" s="16" t="s">
        <v>51</v>
      </c>
      <c r="C12" s="17" t="s">
        <v>52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M4" activePane="bottomRight" state="frozen"/>
      <selection pane="topRight" activeCell="M1" sqref="M1"/>
      <selection pane="bottomLeft" activeCell="A4" sqref="A4"/>
      <selection pane="bottomRight" activeCell="V21" sqref="V21"/>
    </sheetView>
  </sheetViews>
  <sheetFormatPr defaultColWidth="8.6640625" defaultRowHeight="14.4" x14ac:dyDescent="0.3"/>
  <cols>
    <col min="1" max="1" width="26" customWidth="1"/>
    <col min="2" max="33" width="24" customWidth="1"/>
  </cols>
  <sheetData>
    <row r="1" spans="1:33" ht="21" customHeight="1" x14ac:dyDescent="0.4">
      <c r="A1" s="6" t="s">
        <v>8</v>
      </c>
      <c r="B1" s="6"/>
      <c r="C1" s="6"/>
      <c r="D1" s="6"/>
      <c r="E1" s="6"/>
      <c r="F1" s="6"/>
      <c r="G1" s="6"/>
      <c r="H1" s="6"/>
      <c r="I1" s="6"/>
      <c r="J1" s="6"/>
      <c r="K1" s="6"/>
      <c r="L1" s="6"/>
      <c r="M1" s="6"/>
      <c r="N1" s="6"/>
      <c r="O1" s="6"/>
      <c r="P1" s="6"/>
      <c r="Q1" s="6"/>
      <c r="R1" s="6"/>
      <c r="S1" s="6"/>
      <c r="T1" s="6"/>
      <c r="U1" s="6"/>
    </row>
    <row r="2" spans="1:33" x14ac:dyDescent="0.3">
      <c r="A2" s="5" t="s">
        <v>53</v>
      </c>
      <c r="B2" s="5"/>
      <c r="C2" s="5"/>
      <c r="D2" s="5"/>
      <c r="E2" s="5"/>
      <c r="F2" s="5"/>
      <c r="G2" s="5"/>
      <c r="H2" s="5"/>
      <c r="I2" s="5"/>
      <c r="J2" s="5"/>
      <c r="K2" s="5"/>
      <c r="L2" s="5"/>
      <c r="M2" s="5"/>
      <c r="N2" s="5"/>
      <c r="O2" s="5"/>
      <c r="P2" s="5"/>
      <c r="Q2" s="5"/>
      <c r="R2" s="5"/>
      <c r="S2" s="5"/>
      <c r="T2" s="5"/>
      <c r="U2" s="5"/>
    </row>
    <row r="4" spans="1:33" ht="15" customHeight="1" x14ac:dyDescent="0.3">
      <c r="A4" s="18" t="s">
        <v>54</v>
      </c>
      <c r="B4" s="4" t="s">
        <v>55</v>
      </c>
      <c r="C4" s="4"/>
      <c r="D4" s="4"/>
      <c r="E4" s="4"/>
      <c r="F4" s="4"/>
      <c r="G4" s="4"/>
      <c r="H4" s="4"/>
      <c r="I4" s="4"/>
      <c r="J4" s="4"/>
      <c r="K4" s="4"/>
      <c r="L4" s="4"/>
      <c r="M4" s="4"/>
      <c r="N4" s="4"/>
      <c r="O4" s="4"/>
      <c r="P4" s="4"/>
      <c r="Q4" s="4"/>
      <c r="R4" s="4"/>
      <c r="S4" s="4"/>
      <c r="T4" s="4"/>
      <c r="U4" s="4"/>
    </row>
    <row r="5" spans="1:33" ht="15" customHeight="1" x14ac:dyDescent="0.3">
      <c r="A5" s="18" t="s">
        <v>56</v>
      </c>
      <c r="B5" s="3" t="s">
        <v>57</v>
      </c>
      <c r="C5" s="3"/>
      <c r="D5" s="3"/>
      <c r="E5" s="3"/>
      <c r="F5" s="3"/>
      <c r="G5" s="3"/>
      <c r="H5" s="3"/>
      <c r="I5" s="3"/>
      <c r="J5" s="3"/>
      <c r="K5" s="3"/>
      <c r="L5" s="3"/>
      <c r="M5" s="3"/>
      <c r="N5" s="3"/>
      <c r="O5" s="3"/>
      <c r="P5" s="3"/>
      <c r="Q5" s="3"/>
      <c r="R5" s="3"/>
      <c r="S5" s="3"/>
      <c r="T5" s="3"/>
      <c r="U5" s="3"/>
    </row>
    <row r="6" spans="1:33" ht="13.5" customHeight="1" x14ac:dyDescent="0.3">
      <c r="A6" s="18" t="s">
        <v>58</v>
      </c>
      <c r="B6" s="20" t="s">
        <v>59</v>
      </c>
      <c r="C6" s="20" t="s">
        <v>60</v>
      </c>
      <c r="D6" s="2" t="s">
        <v>61</v>
      </c>
      <c r="E6" s="2"/>
      <c r="F6" s="2"/>
      <c r="G6" s="2"/>
      <c r="H6" s="2"/>
      <c r="I6" s="2"/>
      <c r="J6" s="2"/>
      <c r="K6" s="2"/>
      <c r="L6" s="2"/>
      <c r="M6" s="2"/>
      <c r="N6" s="2"/>
      <c r="O6" s="2"/>
      <c r="P6" s="2"/>
      <c r="Q6" s="2"/>
      <c r="R6" s="2"/>
      <c r="S6" s="2"/>
      <c r="T6" s="2"/>
      <c r="U6" s="2"/>
    </row>
    <row r="7" spans="1:33" ht="15" customHeight="1" x14ac:dyDescent="0.3">
      <c r="A7" s="18"/>
      <c r="B7" s="21" t="s">
        <v>62</v>
      </c>
      <c r="C7" s="21" t="s">
        <v>63</v>
      </c>
      <c r="D7" s="1" t="s">
        <v>64</v>
      </c>
      <c r="E7" s="1"/>
      <c r="F7" s="1"/>
      <c r="G7" s="1"/>
      <c r="H7" s="1"/>
      <c r="I7" s="1"/>
      <c r="J7" s="1"/>
      <c r="K7" s="1"/>
      <c r="L7" s="1"/>
      <c r="M7" s="1"/>
      <c r="N7" s="1"/>
      <c r="O7" s="1"/>
      <c r="P7" s="1"/>
      <c r="Q7" s="1"/>
      <c r="R7" s="1"/>
      <c r="S7" s="1"/>
      <c r="T7" s="1"/>
      <c r="U7" s="1"/>
    </row>
    <row r="8" spans="1:33" ht="15" customHeight="1" x14ac:dyDescent="0.3">
      <c r="A8" s="22" t="s">
        <v>65</v>
      </c>
      <c r="B8" s="4" t="s">
        <v>66</v>
      </c>
      <c r="C8" s="4"/>
      <c r="D8" s="4"/>
      <c r="E8" s="4"/>
      <c r="F8" s="4"/>
      <c r="G8" s="4"/>
      <c r="H8" s="4"/>
      <c r="I8" s="4"/>
      <c r="J8" s="4"/>
      <c r="K8" s="4"/>
      <c r="L8" s="4"/>
      <c r="M8" s="4"/>
      <c r="N8" s="4"/>
      <c r="O8" s="4"/>
      <c r="P8" s="4"/>
      <c r="Q8" s="4"/>
      <c r="R8" s="4"/>
      <c r="S8" s="4"/>
      <c r="T8" s="4"/>
      <c r="U8" s="4"/>
    </row>
    <row r="9" spans="1:33" ht="15" customHeight="1" x14ac:dyDescent="0.3">
      <c r="A9" s="22" t="s">
        <v>67</v>
      </c>
      <c r="B9" s="3" t="s">
        <v>68</v>
      </c>
      <c r="C9" s="3"/>
      <c r="D9" s="3"/>
      <c r="E9" s="3"/>
      <c r="F9" s="3"/>
      <c r="G9" s="3"/>
      <c r="H9" s="3"/>
      <c r="I9" s="3"/>
      <c r="J9" s="3"/>
      <c r="K9" s="3"/>
      <c r="L9" s="3"/>
      <c r="M9" s="3"/>
      <c r="N9" s="3"/>
      <c r="O9" s="3"/>
      <c r="P9" s="3"/>
      <c r="Q9" s="3"/>
      <c r="R9" s="3"/>
      <c r="S9" s="3"/>
      <c r="T9" s="3"/>
      <c r="U9" s="3"/>
    </row>
    <row r="10" spans="1:33" ht="13.5" customHeight="1" x14ac:dyDescent="0.3">
      <c r="A10" s="22" t="s">
        <v>69</v>
      </c>
      <c r="B10" s="20" t="s">
        <v>70</v>
      </c>
      <c r="C10" s="20" t="s">
        <v>71</v>
      </c>
      <c r="D10" s="23"/>
      <c r="E10" s="23"/>
      <c r="F10" s="23"/>
      <c r="G10" s="23"/>
      <c r="H10" s="23"/>
      <c r="I10" s="23"/>
      <c r="J10" s="23"/>
      <c r="K10" s="23"/>
      <c r="L10" s="23"/>
      <c r="M10" s="23"/>
      <c r="N10" s="23"/>
      <c r="O10" s="23"/>
      <c r="P10" s="23"/>
      <c r="Q10" s="23"/>
      <c r="R10" s="23"/>
      <c r="S10" s="23"/>
      <c r="T10" s="23"/>
      <c r="U10" s="23"/>
    </row>
    <row r="11" spans="1:33" x14ac:dyDescent="0.3">
      <c r="A11" s="22"/>
      <c r="B11" s="24">
        <v>288226</v>
      </c>
      <c r="C11" s="24">
        <v>32</v>
      </c>
      <c r="D11" s="25"/>
      <c r="E11" s="25"/>
      <c r="F11" s="25"/>
      <c r="G11" s="25"/>
      <c r="H11" s="25"/>
      <c r="I11" s="25"/>
      <c r="J11" s="25"/>
      <c r="K11" s="25"/>
      <c r="L11" s="25"/>
      <c r="M11" s="25"/>
      <c r="N11" s="25"/>
      <c r="O11" s="25"/>
      <c r="P11" s="25"/>
      <c r="Q11" s="25"/>
      <c r="R11" s="25"/>
      <c r="S11" s="25"/>
      <c r="T11" s="25"/>
      <c r="U11" s="25"/>
    </row>
    <row r="12" spans="1:33" ht="6" customHeight="1" x14ac:dyDescent="0.3"/>
    <row r="13" spans="1:33" ht="26.25" customHeight="1" x14ac:dyDescent="0.3">
      <c r="A13" s="26" t="s">
        <v>72</v>
      </c>
      <c r="B13" s="27" t="s">
        <v>73</v>
      </c>
      <c r="C13" s="27" t="s">
        <v>74</v>
      </c>
      <c r="D13" s="27" t="s">
        <v>75</v>
      </c>
      <c r="E13" s="27" t="s">
        <v>76</v>
      </c>
      <c r="F13" s="27" t="s">
        <v>77</v>
      </c>
      <c r="G13" s="27" t="s">
        <v>78</v>
      </c>
      <c r="H13" s="27" t="s">
        <v>79</v>
      </c>
      <c r="I13" s="27" t="s">
        <v>80</v>
      </c>
      <c r="J13" s="27" t="s">
        <v>81</v>
      </c>
      <c r="K13" s="27" t="s">
        <v>82</v>
      </c>
      <c r="L13" s="27" t="s">
        <v>83</v>
      </c>
      <c r="M13" s="27" t="s">
        <v>84</v>
      </c>
      <c r="N13" s="27" t="s">
        <v>85</v>
      </c>
      <c r="O13" s="27" t="s">
        <v>86</v>
      </c>
      <c r="P13" s="27" t="s">
        <v>87</v>
      </c>
      <c r="Q13" s="27" t="s">
        <v>88</v>
      </c>
      <c r="R13" s="27" t="s">
        <v>89</v>
      </c>
      <c r="S13" s="27" t="s">
        <v>90</v>
      </c>
      <c r="T13" s="27" t="s">
        <v>91</v>
      </c>
      <c r="U13" s="27" t="s">
        <v>92</v>
      </c>
      <c r="V13" s="27" t="s">
        <v>93</v>
      </c>
      <c r="W13" s="27" t="s">
        <v>94</v>
      </c>
      <c r="X13" s="27" t="s">
        <v>95</v>
      </c>
      <c r="Y13" s="27" t="s">
        <v>96</v>
      </c>
      <c r="Z13" s="27" t="s">
        <v>97</v>
      </c>
      <c r="AA13" s="27" t="s">
        <v>98</v>
      </c>
      <c r="AB13" s="27" t="s">
        <v>99</v>
      </c>
      <c r="AC13" s="27" t="s">
        <v>100</v>
      </c>
      <c r="AD13" s="27" t="s">
        <v>101</v>
      </c>
      <c r="AE13" s="27" t="s">
        <v>102</v>
      </c>
      <c r="AF13" s="27" t="s">
        <v>103</v>
      </c>
      <c r="AG13" s="27" t="s">
        <v>104</v>
      </c>
    </row>
    <row r="14" spans="1:33" ht="39" customHeight="1" x14ac:dyDescent="0.3">
      <c r="A14" s="26" t="s">
        <v>105</v>
      </c>
      <c r="B14" s="19" t="s">
        <v>106</v>
      </c>
      <c r="C14" s="19" t="s">
        <v>107</v>
      </c>
      <c r="D14" s="19" t="s">
        <v>108</v>
      </c>
      <c r="E14" s="19" t="s">
        <v>109</v>
      </c>
      <c r="F14" s="19" t="s">
        <v>110</v>
      </c>
      <c r="G14" s="19" t="s">
        <v>111</v>
      </c>
      <c r="H14" s="19" t="s">
        <v>112</v>
      </c>
      <c r="I14" s="19" t="s">
        <v>113</v>
      </c>
      <c r="J14" s="19" t="s">
        <v>114</v>
      </c>
      <c r="K14" s="19" t="s">
        <v>115</v>
      </c>
      <c r="L14" s="19" t="s">
        <v>116</v>
      </c>
      <c r="M14" s="19" t="s">
        <v>117</v>
      </c>
      <c r="N14" s="19" t="s">
        <v>118</v>
      </c>
      <c r="O14" s="19" t="s">
        <v>119</v>
      </c>
      <c r="P14" s="19" t="s">
        <v>120</v>
      </c>
      <c r="Q14" s="19" t="s">
        <v>121</v>
      </c>
      <c r="R14" s="19" t="s">
        <v>122</v>
      </c>
      <c r="S14" s="19" t="s">
        <v>123</v>
      </c>
      <c r="T14" s="19" t="s">
        <v>124</v>
      </c>
      <c r="U14" s="19" t="s">
        <v>125</v>
      </c>
      <c r="V14" s="19" t="s">
        <v>126</v>
      </c>
      <c r="W14" s="19" t="s">
        <v>127</v>
      </c>
      <c r="X14" s="19" t="s">
        <v>128</v>
      </c>
      <c r="Y14" s="19" t="s">
        <v>129</v>
      </c>
      <c r="Z14" s="19" t="s">
        <v>130</v>
      </c>
      <c r="AA14" s="19" t="s">
        <v>131</v>
      </c>
      <c r="AB14" s="19" t="s">
        <v>132</v>
      </c>
      <c r="AC14" s="19" t="s">
        <v>133</v>
      </c>
      <c r="AD14" s="19" t="s">
        <v>134</v>
      </c>
      <c r="AE14" s="19" t="s">
        <v>135</v>
      </c>
      <c r="AF14" s="19" t="s">
        <v>136</v>
      </c>
      <c r="AG14" s="19" t="s">
        <v>137</v>
      </c>
    </row>
    <row r="15" spans="1:33" x14ac:dyDescent="0.3">
      <c r="A15" s="26" t="s">
        <v>138</v>
      </c>
      <c r="B15" s="28" t="s">
        <v>139</v>
      </c>
      <c r="C15" s="28" t="s">
        <v>139</v>
      </c>
      <c r="D15" s="28" t="s">
        <v>140</v>
      </c>
      <c r="E15" s="28" t="s">
        <v>140</v>
      </c>
      <c r="F15" s="28" t="s">
        <v>140</v>
      </c>
      <c r="G15" s="28" t="s">
        <v>141</v>
      </c>
      <c r="H15" s="28" t="s">
        <v>141</v>
      </c>
      <c r="I15" s="28" t="s">
        <v>141</v>
      </c>
      <c r="J15" s="28" t="s">
        <v>141</v>
      </c>
      <c r="K15" s="28" t="s">
        <v>141</v>
      </c>
      <c r="L15" s="28" t="s">
        <v>140</v>
      </c>
      <c r="M15" s="28" t="s">
        <v>140</v>
      </c>
      <c r="N15" s="28" t="s">
        <v>140</v>
      </c>
      <c r="O15" s="28" t="s">
        <v>142</v>
      </c>
      <c r="P15" s="28" t="s">
        <v>143</v>
      </c>
      <c r="Q15" s="28" t="s">
        <v>143</v>
      </c>
      <c r="R15" s="28" t="s">
        <v>143</v>
      </c>
      <c r="S15" s="28" t="s">
        <v>143</v>
      </c>
      <c r="T15" s="28" t="s">
        <v>143</v>
      </c>
      <c r="U15" s="28" t="s">
        <v>143</v>
      </c>
      <c r="V15" s="28" t="s">
        <v>141</v>
      </c>
      <c r="W15" s="28" t="s">
        <v>141</v>
      </c>
      <c r="X15" s="28" t="s">
        <v>141</v>
      </c>
      <c r="Y15" s="28" t="s">
        <v>141</v>
      </c>
      <c r="Z15" s="28" t="s">
        <v>141</v>
      </c>
      <c r="AA15" s="28" t="s">
        <v>140</v>
      </c>
      <c r="AB15" s="28" t="s">
        <v>143</v>
      </c>
      <c r="AC15" s="28" t="s">
        <v>141</v>
      </c>
      <c r="AD15" s="28" t="s">
        <v>139</v>
      </c>
      <c r="AE15" s="28" t="s">
        <v>139</v>
      </c>
      <c r="AF15" s="28" t="s">
        <v>140</v>
      </c>
      <c r="AG15" s="28" t="s">
        <v>140</v>
      </c>
    </row>
    <row r="16" spans="1:33" ht="26.4" x14ac:dyDescent="0.3">
      <c r="A16" s="26" t="s">
        <v>144</v>
      </c>
      <c r="B16" s="28" t="s">
        <v>145</v>
      </c>
      <c r="C16" s="28" t="s">
        <v>146</v>
      </c>
      <c r="D16" s="28" t="s">
        <v>147</v>
      </c>
      <c r="E16" s="28" t="s">
        <v>147</v>
      </c>
      <c r="F16" s="28" t="s">
        <v>147</v>
      </c>
      <c r="G16" s="28" t="s">
        <v>148</v>
      </c>
      <c r="H16" s="28" t="s">
        <v>148</v>
      </c>
      <c r="I16" s="28" t="s">
        <v>148</v>
      </c>
      <c r="J16" s="28" t="s">
        <v>148</v>
      </c>
      <c r="K16" s="28" t="s">
        <v>148</v>
      </c>
      <c r="L16" s="28" t="s">
        <v>148</v>
      </c>
      <c r="M16" s="28" t="s">
        <v>148</v>
      </c>
      <c r="N16" s="28" t="s">
        <v>147</v>
      </c>
      <c r="O16" s="28" t="s">
        <v>148</v>
      </c>
      <c r="P16" s="28" t="s">
        <v>148</v>
      </c>
      <c r="Q16" s="28" t="s">
        <v>148</v>
      </c>
      <c r="R16" s="28" t="s">
        <v>148</v>
      </c>
      <c r="S16" s="28" t="s">
        <v>148</v>
      </c>
      <c r="T16" s="28" t="s">
        <v>148</v>
      </c>
      <c r="U16" s="28" t="s">
        <v>148</v>
      </c>
      <c r="V16" s="28" t="s">
        <v>148</v>
      </c>
      <c r="W16" s="28" t="s">
        <v>148</v>
      </c>
      <c r="X16" s="28" t="s">
        <v>148</v>
      </c>
      <c r="Y16" s="28" t="s">
        <v>148</v>
      </c>
      <c r="Z16" s="28" t="s">
        <v>148</v>
      </c>
      <c r="AA16" s="28" t="s">
        <v>148</v>
      </c>
      <c r="AB16" s="28" t="s">
        <v>148</v>
      </c>
      <c r="AC16" s="28" t="s">
        <v>148</v>
      </c>
      <c r="AD16" s="28" t="s">
        <v>149</v>
      </c>
      <c r="AE16" s="28" t="s">
        <v>149</v>
      </c>
      <c r="AF16" s="28" t="s">
        <v>150</v>
      </c>
      <c r="AG16" s="28" t="s">
        <v>150</v>
      </c>
    </row>
    <row r="17" spans="1:33" ht="26.25" customHeight="1" x14ac:dyDescent="0.3">
      <c r="A17" s="29" t="s">
        <v>151</v>
      </c>
      <c r="B17" s="19" t="s">
        <v>152</v>
      </c>
      <c r="C17" s="19" t="s">
        <v>153</v>
      </c>
      <c r="D17" s="19" t="s">
        <v>154</v>
      </c>
      <c r="E17" s="19" t="s">
        <v>155</v>
      </c>
      <c r="F17" s="19" t="s">
        <v>156</v>
      </c>
      <c r="G17" s="19" t="s">
        <v>157</v>
      </c>
      <c r="H17" s="19" t="s">
        <v>157</v>
      </c>
      <c r="I17" s="19" t="s">
        <v>158</v>
      </c>
      <c r="J17" s="19" t="s">
        <v>159</v>
      </c>
      <c r="K17" s="19" t="s">
        <v>160</v>
      </c>
      <c r="L17" s="19" t="s">
        <v>161</v>
      </c>
      <c r="M17" s="19" t="s">
        <v>162</v>
      </c>
      <c r="N17" s="19" t="s">
        <v>163</v>
      </c>
      <c r="O17" s="19" t="s">
        <v>164</v>
      </c>
      <c r="P17" s="19" t="s">
        <v>165</v>
      </c>
      <c r="Q17" s="19" t="s">
        <v>165</v>
      </c>
      <c r="R17" s="19" t="s">
        <v>165</v>
      </c>
      <c r="S17" s="19" t="s">
        <v>166</v>
      </c>
      <c r="T17" s="19" t="s">
        <v>165</v>
      </c>
      <c r="U17" s="19" t="s">
        <v>165</v>
      </c>
      <c r="V17" s="19" t="s">
        <v>167</v>
      </c>
      <c r="W17" s="19" t="s">
        <v>157</v>
      </c>
      <c r="X17" s="19" t="s">
        <v>160</v>
      </c>
      <c r="Y17" s="19" t="s">
        <v>168</v>
      </c>
      <c r="Z17" s="19" t="s">
        <v>169</v>
      </c>
      <c r="AA17" s="19" t="s">
        <v>170</v>
      </c>
      <c r="AB17" s="19" t="s">
        <v>165</v>
      </c>
      <c r="AC17" s="19" t="s">
        <v>171</v>
      </c>
      <c r="AD17" s="19" t="s">
        <v>172</v>
      </c>
      <c r="AE17" s="19" t="s">
        <v>173</v>
      </c>
      <c r="AF17" s="19" t="s">
        <v>174</v>
      </c>
      <c r="AG17" s="19" t="s">
        <v>175</v>
      </c>
    </row>
    <row r="18" spans="1:33" x14ac:dyDescent="0.3">
      <c r="A18" s="29" t="s">
        <v>176</v>
      </c>
      <c r="B18" s="30">
        <v>19</v>
      </c>
      <c r="C18" s="30">
        <v>1212</v>
      </c>
      <c r="D18" s="30">
        <v>727</v>
      </c>
      <c r="E18" s="30">
        <v>568</v>
      </c>
      <c r="F18" s="30">
        <v>715</v>
      </c>
      <c r="G18" s="30">
        <v>20</v>
      </c>
      <c r="H18" s="30">
        <v>11</v>
      </c>
      <c r="I18" s="30">
        <v>7</v>
      </c>
      <c r="J18" s="30">
        <v>7</v>
      </c>
      <c r="K18" s="30">
        <v>8</v>
      </c>
      <c r="L18" s="30">
        <v>2</v>
      </c>
      <c r="M18" s="30">
        <v>21</v>
      </c>
      <c r="N18" s="30">
        <v>676</v>
      </c>
      <c r="O18" s="30">
        <v>1129</v>
      </c>
      <c r="P18" s="30">
        <v>2</v>
      </c>
      <c r="Q18" s="30">
        <v>2</v>
      </c>
      <c r="R18" s="30">
        <v>2</v>
      </c>
      <c r="S18" s="30">
        <v>2</v>
      </c>
      <c r="T18" s="30">
        <v>2</v>
      </c>
      <c r="U18" s="30">
        <v>2</v>
      </c>
      <c r="V18" s="30">
        <v>6</v>
      </c>
      <c r="W18" s="30">
        <v>5</v>
      </c>
      <c r="X18" s="30">
        <v>6</v>
      </c>
      <c r="Y18" s="30">
        <v>5</v>
      </c>
      <c r="Z18" s="30">
        <v>2</v>
      </c>
      <c r="AA18" s="30">
        <v>10</v>
      </c>
      <c r="AB18" s="30">
        <v>2</v>
      </c>
      <c r="AC18" s="30">
        <v>6</v>
      </c>
      <c r="AD18" s="30">
        <v>14</v>
      </c>
      <c r="AE18" s="30">
        <v>14</v>
      </c>
      <c r="AF18" s="30">
        <v>14</v>
      </c>
      <c r="AG18" s="30">
        <v>14</v>
      </c>
    </row>
    <row r="19" spans="1:33" ht="78.75" customHeight="1" x14ac:dyDescent="0.3">
      <c r="A19" s="29" t="s">
        <v>177</v>
      </c>
      <c r="B19" s="19" t="s">
        <v>178</v>
      </c>
      <c r="C19" s="19" t="s">
        <v>179</v>
      </c>
      <c r="D19" s="19" t="s">
        <v>179</v>
      </c>
      <c r="E19" s="19" t="s">
        <v>179</v>
      </c>
      <c r="F19" s="19" t="s">
        <v>179</v>
      </c>
      <c r="G19" s="19" t="s">
        <v>180</v>
      </c>
      <c r="H19" s="19" t="s">
        <v>181</v>
      </c>
      <c r="I19" s="19" t="s">
        <v>182</v>
      </c>
      <c r="J19" s="19" t="s">
        <v>183</v>
      </c>
      <c r="K19" s="19" t="s">
        <v>184</v>
      </c>
      <c r="L19" s="19" t="s">
        <v>185</v>
      </c>
      <c r="M19" s="19" t="s">
        <v>179</v>
      </c>
      <c r="N19" s="19" t="s">
        <v>179</v>
      </c>
      <c r="O19" s="19" t="s">
        <v>179</v>
      </c>
      <c r="P19" s="19" t="s">
        <v>186</v>
      </c>
      <c r="Q19" s="19" t="s">
        <v>186</v>
      </c>
      <c r="R19" s="19" t="s">
        <v>186</v>
      </c>
      <c r="S19" s="19" t="s">
        <v>186</v>
      </c>
      <c r="T19" s="19" t="s">
        <v>186</v>
      </c>
      <c r="U19" s="19" t="s">
        <v>186</v>
      </c>
      <c r="V19" s="19" t="s">
        <v>187</v>
      </c>
      <c r="W19" s="19" t="s">
        <v>188</v>
      </c>
      <c r="X19" s="19" t="s">
        <v>187</v>
      </c>
      <c r="Y19" s="19" t="s">
        <v>189</v>
      </c>
      <c r="Z19" s="19" t="s">
        <v>190</v>
      </c>
      <c r="AA19" s="19" t="s">
        <v>191</v>
      </c>
      <c r="AB19" s="19" t="s">
        <v>186</v>
      </c>
      <c r="AC19" s="19" t="s">
        <v>192</v>
      </c>
      <c r="AD19" s="19" t="s">
        <v>193</v>
      </c>
      <c r="AE19" s="19" t="s">
        <v>193</v>
      </c>
      <c r="AF19" s="19" t="s">
        <v>194</v>
      </c>
      <c r="AG19" s="19" t="s">
        <v>194</v>
      </c>
    </row>
    <row r="20" spans="1:33" x14ac:dyDescent="0.3">
      <c r="A20" s="29" t="s">
        <v>195</v>
      </c>
      <c r="B20" s="28" t="s">
        <v>196</v>
      </c>
      <c r="C20" s="28" t="s">
        <v>196</v>
      </c>
      <c r="D20" s="28" t="s">
        <v>196</v>
      </c>
      <c r="E20" s="28" t="s">
        <v>196</v>
      </c>
      <c r="F20" s="28" t="s">
        <v>196</v>
      </c>
      <c r="G20" s="28" t="s">
        <v>196</v>
      </c>
      <c r="H20" s="28" t="s">
        <v>196</v>
      </c>
      <c r="I20" s="28" t="s">
        <v>196</v>
      </c>
      <c r="J20" s="28" t="s">
        <v>196</v>
      </c>
      <c r="K20" s="28" t="s">
        <v>196</v>
      </c>
      <c r="L20" s="28" t="s">
        <v>197</v>
      </c>
      <c r="M20" s="28" t="s">
        <v>198</v>
      </c>
      <c r="N20" s="28" t="s">
        <v>199</v>
      </c>
      <c r="O20" s="28" t="s">
        <v>199</v>
      </c>
      <c r="P20" s="28" t="s">
        <v>196</v>
      </c>
      <c r="Q20" s="28" t="s">
        <v>196</v>
      </c>
      <c r="R20" s="28" t="s">
        <v>196</v>
      </c>
      <c r="S20" s="28" t="s">
        <v>196</v>
      </c>
      <c r="T20" s="28" t="s">
        <v>196</v>
      </c>
      <c r="U20" s="28" t="s">
        <v>196</v>
      </c>
      <c r="V20" s="28" t="s">
        <v>196</v>
      </c>
      <c r="W20" s="28" t="s">
        <v>196</v>
      </c>
      <c r="X20" s="28" t="s">
        <v>196</v>
      </c>
      <c r="Y20" s="28" t="s">
        <v>196</v>
      </c>
      <c r="Z20" s="28" t="s">
        <v>196</v>
      </c>
      <c r="AA20" s="28" t="s">
        <v>199</v>
      </c>
      <c r="AB20" s="28" t="s">
        <v>196</v>
      </c>
      <c r="AC20" s="28" t="s">
        <v>196</v>
      </c>
      <c r="AD20" s="28" t="s">
        <v>196</v>
      </c>
      <c r="AE20" s="28" t="s">
        <v>196</v>
      </c>
      <c r="AF20" s="28" t="s">
        <v>196</v>
      </c>
      <c r="AG20" s="28" t="s">
        <v>196</v>
      </c>
    </row>
    <row r="21" spans="1:33" ht="118.5" customHeight="1" x14ac:dyDescent="0.3">
      <c r="A21" s="29" t="s">
        <v>200</v>
      </c>
      <c r="B21" s="19" t="s">
        <v>201</v>
      </c>
      <c r="C21" s="19" t="s">
        <v>201</v>
      </c>
      <c r="D21" s="19" t="s">
        <v>201</v>
      </c>
      <c r="E21" s="19" t="s">
        <v>201</v>
      </c>
      <c r="F21" s="19" t="s">
        <v>201</v>
      </c>
      <c r="G21" s="19" t="s">
        <v>201</v>
      </c>
      <c r="H21" s="19" t="s">
        <v>202</v>
      </c>
      <c r="I21" s="19" t="s">
        <v>201</v>
      </c>
      <c r="J21" s="19" t="s">
        <v>201</v>
      </c>
      <c r="K21" s="19" t="s">
        <v>201</v>
      </c>
      <c r="L21" s="19" t="s">
        <v>203</v>
      </c>
      <c r="M21" s="19" t="s">
        <v>204</v>
      </c>
      <c r="N21" s="19" t="s">
        <v>205</v>
      </c>
      <c r="O21" s="19" t="s">
        <v>206</v>
      </c>
      <c r="P21" s="19" t="s">
        <v>201</v>
      </c>
      <c r="Q21" s="19" t="s">
        <v>201</v>
      </c>
      <c r="R21" s="19" t="s">
        <v>201</v>
      </c>
      <c r="S21" s="19" t="s">
        <v>201</v>
      </c>
      <c r="T21" s="19" t="s">
        <v>201</v>
      </c>
      <c r="U21" s="19" t="s">
        <v>201</v>
      </c>
      <c r="V21" s="19" t="s">
        <v>201</v>
      </c>
      <c r="W21" s="19" t="s">
        <v>201</v>
      </c>
      <c r="X21" s="19" t="s">
        <v>201</v>
      </c>
      <c r="Y21" s="19" t="s">
        <v>201</v>
      </c>
      <c r="Z21" s="19" t="s">
        <v>207</v>
      </c>
      <c r="AA21" s="19" t="s">
        <v>208</v>
      </c>
      <c r="AB21" s="19" t="s">
        <v>201</v>
      </c>
      <c r="AC21" s="19" t="s">
        <v>209</v>
      </c>
      <c r="AD21" s="19" t="s">
        <v>201</v>
      </c>
      <c r="AE21" s="19" t="s">
        <v>201</v>
      </c>
      <c r="AF21" s="19" t="s">
        <v>210</v>
      </c>
      <c r="AG21" s="19" t="s">
        <v>211</v>
      </c>
    </row>
    <row r="22" spans="1:33" ht="9.75" customHeight="1" x14ac:dyDescent="0.3"/>
    <row r="23" spans="1:33" ht="9.75" customHeight="1" x14ac:dyDescent="0.3"/>
    <row r="25" spans="1:33" ht="15" customHeight="1" x14ac:dyDescent="0.3"/>
    <row r="26" spans="1:33" ht="14.25" customHeight="1" x14ac:dyDescent="0.3">
      <c r="A26" s="18" t="s">
        <v>54</v>
      </c>
      <c r="B26" s="4" t="s">
        <v>212</v>
      </c>
      <c r="C26" s="4"/>
      <c r="D26" s="4"/>
      <c r="E26" s="4"/>
      <c r="F26" s="4"/>
      <c r="G26" s="4"/>
      <c r="H26" s="4"/>
      <c r="I26" s="4"/>
      <c r="J26" s="4"/>
      <c r="K26" s="4"/>
      <c r="L26" s="4"/>
      <c r="M26" s="4"/>
      <c r="N26" s="4"/>
      <c r="O26" s="4"/>
      <c r="P26" s="4"/>
      <c r="Q26" s="4"/>
      <c r="R26" s="4"/>
      <c r="S26" s="4"/>
      <c r="T26" s="4"/>
      <c r="U26" s="4"/>
    </row>
    <row r="27" spans="1:33" ht="14.25" customHeight="1" x14ac:dyDescent="0.3">
      <c r="A27" s="18" t="s">
        <v>56</v>
      </c>
      <c r="B27" s="3" t="s">
        <v>213</v>
      </c>
      <c r="C27" s="3"/>
      <c r="D27" s="3"/>
      <c r="E27" s="3"/>
      <c r="F27" s="3"/>
      <c r="G27" s="3"/>
      <c r="H27" s="3"/>
      <c r="I27" s="3"/>
      <c r="J27" s="3"/>
      <c r="K27" s="3"/>
      <c r="L27" s="3"/>
      <c r="M27" s="3"/>
      <c r="N27" s="3"/>
      <c r="O27" s="3"/>
      <c r="P27" s="3"/>
      <c r="Q27" s="3"/>
      <c r="R27" s="3"/>
      <c r="S27" s="3"/>
      <c r="T27" s="3"/>
      <c r="U27" s="3"/>
    </row>
    <row r="28" spans="1:33" x14ac:dyDescent="0.3">
      <c r="A28" s="18" t="s">
        <v>58</v>
      </c>
      <c r="B28" s="20" t="s">
        <v>59</v>
      </c>
      <c r="C28" s="20" t="s">
        <v>60</v>
      </c>
      <c r="D28" s="2" t="s">
        <v>61</v>
      </c>
      <c r="E28" s="2"/>
      <c r="F28" s="2"/>
      <c r="G28" s="2"/>
      <c r="H28" s="2"/>
      <c r="I28" s="2"/>
      <c r="J28" s="2"/>
      <c r="K28" s="2"/>
      <c r="L28" s="2"/>
      <c r="M28" s="2"/>
      <c r="N28" s="2"/>
      <c r="O28" s="2"/>
      <c r="P28" s="2"/>
      <c r="Q28" s="2"/>
      <c r="R28" s="2"/>
      <c r="S28" s="2"/>
      <c r="T28" s="2"/>
      <c r="U28" s="2"/>
    </row>
    <row r="29" spans="1:33" ht="15" customHeight="1" x14ac:dyDescent="0.3">
      <c r="A29" s="18"/>
      <c r="B29" s="21" t="s">
        <v>62</v>
      </c>
      <c r="C29" s="21" t="s">
        <v>214</v>
      </c>
      <c r="D29" s="1" t="s">
        <v>215</v>
      </c>
      <c r="E29" s="1"/>
      <c r="F29" s="1"/>
      <c r="G29" s="1"/>
      <c r="H29" s="1"/>
      <c r="I29" s="1"/>
      <c r="J29" s="1"/>
      <c r="K29" s="1"/>
      <c r="L29" s="1"/>
      <c r="M29" s="1"/>
      <c r="N29" s="1"/>
      <c r="O29" s="1"/>
      <c r="P29" s="1"/>
      <c r="Q29" s="1"/>
      <c r="R29" s="1"/>
      <c r="S29" s="1"/>
      <c r="T29" s="1"/>
      <c r="U29" s="1"/>
    </row>
    <row r="30" spans="1:33" ht="14.25" customHeight="1" x14ac:dyDescent="0.3">
      <c r="A30" s="22" t="s">
        <v>65</v>
      </c>
      <c r="B30" s="4" t="s">
        <v>216</v>
      </c>
      <c r="C30" s="4"/>
      <c r="D30" s="4"/>
      <c r="E30" s="4"/>
      <c r="F30" s="4"/>
      <c r="G30" s="4"/>
      <c r="H30" s="4"/>
      <c r="I30" s="4"/>
      <c r="J30" s="4"/>
      <c r="K30" s="4"/>
      <c r="L30" s="4"/>
      <c r="M30" s="4"/>
      <c r="N30" s="4"/>
      <c r="O30" s="4"/>
      <c r="P30" s="4"/>
      <c r="Q30" s="4"/>
      <c r="R30" s="4"/>
      <c r="S30" s="4"/>
      <c r="T30" s="4"/>
      <c r="U30" s="4"/>
    </row>
    <row r="31" spans="1:33" ht="14.25" customHeight="1" x14ac:dyDescent="0.3">
      <c r="A31" s="22" t="s">
        <v>67</v>
      </c>
      <c r="B31" s="3" t="s">
        <v>217</v>
      </c>
      <c r="C31" s="3"/>
      <c r="D31" s="3"/>
      <c r="E31" s="3"/>
      <c r="F31" s="3"/>
      <c r="G31" s="3"/>
      <c r="H31" s="3"/>
      <c r="I31" s="3"/>
      <c r="J31" s="3"/>
      <c r="K31" s="3"/>
      <c r="L31" s="3"/>
      <c r="M31" s="3"/>
      <c r="N31" s="3"/>
      <c r="O31" s="3"/>
      <c r="P31" s="3"/>
      <c r="Q31" s="3"/>
      <c r="R31" s="3"/>
      <c r="S31" s="3"/>
      <c r="T31" s="3"/>
      <c r="U31" s="3"/>
    </row>
    <row r="32" spans="1:33" x14ac:dyDescent="0.3">
      <c r="A32" s="22" t="s">
        <v>69</v>
      </c>
      <c r="B32" s="20" t="s">
        <v>70</v>
      </c>
      <c r="C32" s="20" t="s">
        <v>71</v>
      </c>
      <c r="D32" s="23"/>
      <c r="E32" s="23"/>
      <c r="F32" s="23"/>
      <c r="G32" s="23"/>
      <c r="H32" s="23"/>
      <c r="I32" s="23"/>
      <c r="J32" s="23"/>
      <c r="K32" s="23"/>
      <c r="L32" s="23"/>
      <c r="M32" s="23"/>
      <c r="N32" s="23"/>
      <c r="O32" s="23"/>
      <c r="P32" s="23"/>
      <c r="Q32" s="23"/>
      <c r="R32" s="23"/>
      <c r="S32" s="23"/>
      <c r="T32" s="23"/>
      <c r="U32" s="23"/>
    </row>
    <row r="33" spans="1:21" x14ac:dyDescent="0.3">
      <c r="A33" s="22"/>
      <c r="B33" s="24">
        <v>799</v>
      </c>
      <c r="C33" s="24">
        <v>6</v>
      </c>
      <c r="D33" s="25"/>
      <c r="E33" s="25"/>
      <c r="F33" s="25"/>
      <c r="G33" s="25"/>
      <c r="H33" s="25"/>
      <c r="I33" s="25"/>
      <c r="J33" s="25"/>
      <c r="K33" s="25"/>
      <c r="L33" s="25"/>
      <c r="M33" s="25"/>
      <c r="N33" s="25"/>
      <c r="O33" s="25"/>
      <c r="P33" s="25"/>
      <c r="Q33" s="25"/>
      <c r="R33" s="25"/>
      <c r="S33" s="25"/>
      <c r="T33" s="25"/>
      <c r="U33" s="25"/>
    </row>
    <row r="35" spans="1:21" ht="26.25" customHeight="1" x14ac:dyDescent="0.3">
      <c r="A35" s="26" t="s">
        <v>72</v>
      </c>
      <c r="B35" s="27" t="s">
        <v>218</v>
      </c>
      <c r="C35" s="27" t="s">
        <v>219</v>
      </c>
      <c r="D35" s="27" t="s">
        <v>220</v>
      </c>
      <c r="E35" s="27" t="s">
        <v>221</v>
      </c>
      <c r="F35" s="27" t="s">
        <v>222</v>
      </c>
      <c r="G35" s="27" t="s">
        <v>223</v>
      </c>
      <c r="H35" s="31"/>
      <c r="I35" s="31"/>
      <c r="J35" s="31"/>
      <c r="K35" s="31"/>
      <c r="L35" s="31"/>
      <c r="M35" s="31"/>
      <c r="N35" s="31"/>
      <c r="O35" s="31"/>
      <c r="P35" s="31"/>
      <c r="Q35" s="31"/>
      <c r="R35" s="31"/>
      <c r="S35" s="31"/>
      <c r="T35" s="31"/>
      <c r="U35" s="31"/>
    </row>
    <row r="36" spans="1:21" ht="39" customHeight="1" x14ac:dyDescent="0.3">
      <c r="A36" s="26" t="s">
        <v>105</v>
      </c>
      <c r="B36" s="19" t="s">
        <v>224</v>
      </c>
      <c r="C36" s="19" t="s">
        <v>225</v>
      </c>
      <c r="D36" s="19" t="s">
        <v>226</v>
      </c>
      <c r="E36" s="19" t="s">
        <v>227</v>
      </c>
      <c r="F36" s="19" t="s">
        <v>228</v>
      </c>
      <c r="G36" s="19" t="s">
        <v>229</v>
      </c>
      <c r="H36" s="31"/>
      <c r="I36" s="31"/>
      <c r="J36" s="31"/>
      <c r="K36" s="31"/>
      <c r="L36" s="31"/>
      <c r="M36" s="31"/>
      <c r="N36" s="31"/>
      <c r="O36" s="31"/>
      <c r="P36" s="31"/>
      <c r="Q36" s="31"/>
      <c r="R36" s="31"/>
      <c r="S36" s="31"/>
      <c r="T36" s="31"/>
      <c r="U36" s="31"/>
    </row>
    <row r="37" spans="1:21" x14ac:dyDescent="0.3">
      <c r="A37" s="26" t="s">
        <v>138</v>
      </c>
      <c r="B37" s="28" t="s">
        <v>139</v>
      </c>
      <c r="C37" s="28" t="s">
        <v>140</v>
      </c>
      <c r="D37" s="28" t="s">
        <v>140</v>
      </c>
      <c r="E37" s="28" t="s">
        <v>140</v>
      </c>
      <c r="F37" s="28" t="s">
        <v>140</v>
      </c>
      <c r="G37" s="28" t="s">
        <v>142</v>
      </c>
      <c r="H37" s="31"/>
      <c r="I37" s="31"/>
      <c r="J37" s="31"/>
      <c r="K37" s="31"/>
      <c r="L37" s="31"/>
      <c r="M37" s="31"/>
      <c r="N37" s="31"/>
      <c r="O37" s="31"/>
      <c r="P37" s="31"/>
      <c r="Q37" s="31"/>
      <c r="R37" s="31"/>
      <c r="S37" s="31"/>
      <c r="T37" s="31"/>
      <c r="U37" s="31"/>
    </row>
    <row r="38" spans="1:21" ht="26.4" x14ac:dyDescent="0.3">
      <c r="A38" s="26" t="s">
        <v>144</v>
      </c>
      <c r="B38" s="28" t="s">
        <v>230</v>
      </c>
      <c r="C38" s="28" t="s">
        <v>231</v>
      </c>
      <c r="D38" s="28" t="s">
        <v>148</v>
      </c>
      <c r="E38" s="28" t="s">
        <v>148</v>
      </c>
      <c r="F38" s="28" t="s">
        <v>148</v>
      </c>
      <c r="G38" s="28" t="s">
        <v>148</v>
      </c>
      <c r="H38" s="31"/>
      <c r="I38" s="31"/>
      <c r="J38" s="31"/>
      <c r="K38" s="31"/>
      <c r="L38" s="31"/>
      <c r="M38" s="31"/>
      <c r="N38" s="31"/>
      <c r="O38" s="31"/>
      <c r="P38" s="31"/>
      <c r="Q38" s="31"/>
      <c r="R38" s="31"/>
      <c r="S38" s="31"/>
      <c r="T38" s="31"/>
      <c r="U38" s="31"/>
    </row>
    <row r="39" spans="1:21" ht="26.25" customHeight="1" x14ac:dyDescent="0.3">
      <c r="A39" s="29" t="s">
        <v>151</v>
      </c>
      <c r="B39" s="19" t="s">
        <v>232</v>
      </c>
      <c r="C39" s="19" t="s">
        <v>233</v>
      </c>
      <c r="D39" s="19" t="s">
        <v>234</v>
      </c>
      <c r="E39" s="19" t="s">
        <v>235</v>
      </c>
      <c r="F39" s="19" t="s">
        <v>236</v>
      </c>
      <c r="G39" s="19" t="s">
        <v>237</v>
      </c>
      <c r="H39" s="31"/>
      <c r="I39" s="31"/>
      <c r="J39" s="31"/>
      <c r="K39" s="31"/>
      <c r="L39" s="31"/>
      <c r="M39" s="31"/>
      <c r="N39" s="31"/>
      <c r="O39" s="31"/>
      <c r="P39" s="31"/>
      <c r="Q39" s="31"/>
      <c r="R39" s="31"/>
      <c r="S39" s="31"/>
      <c r="T39" s="31"/>
      <c r="U39" s="31"/>
    </row>
    <row r="40" spans="1:21" x14ac:dyDescent="0.3">
      <c r="A40" s="29" t="s">
        <v>176</v>
      </c>
      <c r="B40" s="30">
        <v>799</v>
      </c>
      <c r="C40" s="30">
        <v>799</v>
      </c>
      <c r="D40" s="30">
        <v>2</v>
      </c>
      <c r="E40" s="30">
        <v>23</v>
      </c>
      <c r="F40" s="30">
        <v>7</v>
      </c>
      <c r="G40" s="30">
        <v>799</v>
      </c>
      <c r="H40" s="32"/>
      <c r="I40" s="32"/>
      <c r="J40" s="32"/>
      <c r="K40" s="32"/>
      <c r="L40" s="32"/>
      <c r="M40" s="32"/>
      <c r="N40" s="32"/>
      <c r="O40" s="32"/>
      <c r="P40" s="32"/>
      <c r="Q40" s="32"/>
      <c r="R40" s="32"/>
      <c r="S40" s="32"/>
      <c r="T40" s="32"/>
      <c r="U40" s="32"/>
    </row>
    <row r="41" spans="1:21" ht="78.75" customHeight="1" x14ac:dyDescent="0.3">
      <c r="A41" s="29" t="s">
        <v>177</v>
      </c>
      <c r="B41" s="19" t="s">
        <v>179</v>
      </c>
      <c r="C41" s="19" t="s">
        <v>179</v>
      </c>
      <c r="D41" s="19" t="s">
        <v>185</v>
      </c>
      <c r="E41" s="19" t="s">
        <v>179</v>
      </c>
      <c r="F41" s="19" t="s">
        <v>238</v>
      </c>
      <c r="G41" s="19" t="s">
        <v>179</v>
      </c>
      <c r="H41" s="31"/>
      <c r="I41" s="31"/>
      <c r="J41" s="31"/>
      <c r="K41" s="31"/>
      <c r="L41" s="31"/>
      <c r="M41" s="31"/>
      <c r="N41" s="31"/>
      <c r="O41" s="31"/>
      <c r="P41" s="31"/>
      <c r="Q41" s="31"/>
      <c r="R41" s="31"/>
      <c r="S41" s="31"/>
      <c r="T41" s="31"/>
      <c r="U41" s="31"/>
    </row>
    <row r="42" spans="1:21" x14ac:dyDescent="0.3">
      <c r="A42" s="29" t="s">
        <v>195</v>
      </c>
      <c r="B42" s="28" t="s">
        <v>196</v>
      </c>
      <c r="C42" s="28" t="s">
        <v>196</v>
      </c>
      <c r="D42" s="28" t="s">
        <v>196</v>
      </c>
      <c r="E42" s="28" t="s">
        <v>239</v>
      </c>
      <c r="F42" s="28" t="s">
        <v>240</v>
      </c>
      <c r="G42" s="28" t="s">
        <v>196</v>
      </c>
      <c r="H42" s="31"/>
      <c r="I42" s="31"/>
      <c r="J42" s="31"/>
      <c r="K42" s="31"/>
      <c r="L42" s="31"/>
      <c r="M42" s="31"/>
      <c r="N42" s="31"/>
      <c r="O42" s="31"/>
      <c r="P42" s="31"/>
      <c r="Q42" s="31"/>
      <c r="R42" s="31"/>
      <c r="S42" s="31"/>
      <c r="T42" s="31"/>
      <c r="U42" s="31"/>
    </row>
    <row r="43" spans="1:21" ht="118.5" customHeight="1" x14ac:dyDescent="0.3">
      <c r="A43" s="29" t="s">
        <v>200</v>
      </c>
      <c r="B43" s="19" t="s">
        <v>201</v>
      </c>
      <c r="C43" s="19" t="s">
        <v>201</v>
      </c>
      <c r="D43" s="19" t="s">
        <v>201</v>
      </c>
      <c r="E43" s="19" t="s">
        <v>241</v>
      </c>
      <c r="F43" s="19" t="s">
        <v>242</v>
      </c>
      <c r="G43" s="19" t="s">
        <v>201</v>
      </c>
      <c r="H43" s="31"/>
      <c r="I43" s="31"/>
      <c r="J43" s="31"/>
      <c r="K43" s="31"/>
      <c r="L43" s="31"/>
      <c r="M43" s="31"/>
      <c r="N43" s="31"/>
      <c r="O43" s="31"/>
      <c r="P43" s="31"/>
      <c r="Q43" s="31"/>
      <c r="R43" s="31"/>
      <c r="S43" s="31"/>
      <c r="T43" s="31"/>
      <c r="U43" s="31"/>
    </row>
    <row r="48" spans="1:21" ht="14.25" customHeight="1" x14ac:dyDescent="0.3">
      <c r="A48" s="18" t="s">
        <v>54</v>
      </c>
      <c r="B48" s="4" t="s">
        <v>243</v>
      </c>
      <c r="C48" s="4"/>
      <c r="D48" s="4"/>
      <c r="E48" s="4"/>
      <c r="F48" s="4"/>
      <c r="G48" s="4"/>
      <c r="H48" s="4"/>
      <c r="I48" s="4"/>
      <c r="J48" s="4"/>
      <c r="K48" s="4"/>
      <c r="L48" s="4"/>
      <c r="M48" s="4"/>
      <c r="N48" s="4"/>
      <c r="O48" s="4"/>
      <c r="P48" s="4"/>
      <c r="Q48" s="4"/>
      <c r="R48" s="4"/>
      <c r="S48" s="4"/>
      <c r="T48" s="4"/>
      <c r="U48" s="4"/>
    </row>
    <row r="49" spans="1:21" ht="14.25" customHeight="1" x14ac:dyDescent="0.3">
      <c r="A49" s="18" t="s">
        <v>56</v>
      </c>
      <c r="B49" s="3" t="s">
        <v>244</v>
      </c>
      <c r="C49" s="3"/>
      <c r="D49" s="3"/>
      <c r="E49" s="3"/>
      <c r="F49" s="3"/>
      <c r="G49" s="3"/>
      <c r="H49" s="3"/>
      <c r="I49" s="3"/>
      <c r="J49" s="3"/>
      <c r="K49" s="3"/>
      <c r="L49" s="3"/>
      <c r="M49" s="3"/>
      <c r="N49" s="3"/>
      <c r="O49" s="3"/>
      <c r="P49" s="3"/>
      <c r="Q49" s="3"/>
      <c r="R49" s="3"/>
      <c r="S49" s="3"/>
      <c r="T49" s="3"/>
      <c r="U49" s="3"/>
    </row>
    <row r="50" spans="1:21" x14ac:dyDescent="0.3">
      <c r="A50" s="18" t="s">
        <v>58</v>
      </c>
      <c r="B50" s="20" t="s">
        <v>59</v>
      </c>
      <c r="C50" s="20" t="s">
        <v>60</v>
      </c>
      <c r="D50" s="2" t="s">
        <v>61</v>
      </c>
      <c r="E50" s="2"/>
      <c r="F50" s="2"/>
      <c r="G50" s="2"/>
      <c r="H50" s="2"/>
      <c r="I50" s="2"/>
      <c r="J50" s="2"/>
      <c r="K50" s="2"/>
      <c r="L50" s="2"/>
      <c r="M50" s="2"/>
      <c r="N50" s="2"/>
      <c r="O50" s="2"/>
      <c r="P50" s="2"/>
      <c r="Q50" s="2"/>
      <c r="R50" s="2"/>
      <c r="S50" s="2"/>
      <c r="T50" s="2"/>
      <c r="U50" s="2"/>
    </row>
    <row r="51" spans="1:21" ht="15" customHeight="1" x14ac:dyDescent="0.3">
      <c r="A51" s="18"/>
      <c r="B51" s="21" t="s">
        <v>62</v>
      </c>
      <c r="C51" s="21" t="s">
        <v>245</v>
      </c>
      <c r="D51" s="1" t="s">
        <v>246</v>
      </c>
      <c r="E51" s="1"/>
      <c r="F51" s="1"/>
      <c r="G51" s="1"/>
      <c r="H51" s="1"/>
      <c r="I51" s="1"/>
      <c r="J51" s="1"/>
      <c r="K51" s="1"/>
      <c r="L51" s="1"/>
      <c r="M51" s="1"/>
      <c r="N51" s="1"/>
      <c r="O51" s="1"/>
      <c r="P51" s="1"/>
      <c r="Q51" s="1"/>
      <c r="R51" s="1"/>
      <c r="S51" s="1"/>
      <c r="T51" s="1"/>
      <c r="U51" s="1"/>
    </row>
    <row r="52" spans="1:21" ht="14.25" customHeight="1" x14ac:dyDescent="0.3">
      <c r="A52" s="22" t="s">
        <v>65</v>
      </c>
      <c r="B52" s="4" t="s">
        <v>247</v>
      </c>
      <c r="C52" s="4"/>
      <c r="D52" s="4"/>
      <c r="E52" s="4"/>
      <c r="F52" s="4"/>
      <c r="G52" s="4"/>
      <c r="H52" s="4"/>
      <c r="I52" s="4"/>
      <c r="J52" s="4"/>
      <c r="K52" s="4"/>
      <c r="L52" s="4"/>
      <c r="M52" s="4"/>
      <c r="N52" s="4"/>
      <c r="O52" s="4"/>
      <c r="P52" s="4"/>
      <c r="Q52" s="4"/>
      <c r="R52" s="4"/>
      <c r="S52" s="4"/>
      <c r="T52" s="4"/>
      <c r="U52" s="4"/>
    </row>
    <row r="53" spans="1:21" ht="14.25" customHeight="1" x14ac:dyDescent="0.3">
      <c r="A53" s="22" t="s">
        <v>67</v>
      </c>
      <c r="B53" s="3" t="s">
        <v>248</v>
      </c>
      <c r="C53" s="3"/>
      <c r="D53" s="3"/>
      <c r="E53" s="3"/>
      <c r="F53" s="3"/>
      <c r="G53" s="3"/>
      <c r="H53" s="3"/>
      <c r="I53" s="3"/>
      <c r="J53" s="3"/>
      <c r="K53" s="3"/>
      <c r="L53" s="3"/>
      <c r="M53" s="3"/>
      <c r="N53" s="3"/>
      <c r="O53" s="3"/>
      <c r="P53" s="3"/>
      <c r="Q53" s="3"/>
      <c r="R53" s="3"/>
      <c r="S53" s="3"/>
      <c r="T53" s="3"/>
      <c r="U53" s="3"/>
    </row>
    <row r="54" spans="1:21" x14ac:dyDescent="0.3">
      <c r="A54" s="22" t="s">
        <v>69</v>
      </c>
      <c r="B54" s="20" t="s">
        <v>70</v>
      </c>
      <c r="C54" s="20" t="s">
        <v>71</v>
      </c>
      <c r="D54" s="23"/>
      <c r="E54" s="23"/>
      <c r="F54" s="23"/>
      <c r="G54" s="23"/>
      <c r="H54" s="23"/>
      <c r="I54" s="23"/>
      <c r="J54" s="23"/>
      <c r="K54" s="23"/>
      <c r="L54" s="23"/>
      <c r="M54" s="23"/>
      <c r="N54" s="23"/>
      <c r="O54" s="23"/>
      <c r="P54" s="23"/>
      <c r="Q54" s="23"/>
      <c r="R54" s="23"/>
      <c r="S54" s="23"/>
      <c r="T54" s="23"/>
      <c r="U54" s="23"/>
    </row>
    <row r="55" spans="1:21" x14ac:dyDescent="0.3">
      <c r="A55" s="22"/>
      <c r="B55" s="24">
        <v>16</v>
      </c>
      <c r="C55" s="24">
        <v>2</v>
      </c>
      <c r="D55" s="25"/>
      <c r="E55" s="25"/>
      <c r="F55" s="25"/>
      <c r="G55" s="25"/>
      <c r="H55" s="25"/>
      <c r="I55" s="25"/>
      <c r="J55" s="25"/>
      <c r="K55" s="25"/>
      <c r="L55" s="25"/>
      <c r="M55" s="25"/>
      <c r="N55" s="25"/>
      <c r="O55" s="25"/>
      <c r="P55" s="25"/>
      <c r="Q55" s="25"/>
      <c r="R55" s="25"/>
      <c r="S55" s="25"/>
      <c r="T55" s="25"/>
      <c r="U55" s="25"/>
    </row>
    <row r="57" spans="1:21" ht="26.25" customHeight="1" x14ac:dyDescent="0.3">
      <c r="A57" s="26" t="s">
        <v>72</v>
      </c>
      <c r="B57" s="27" t="s">
        <v>249</v>
      </c>
      <c r="C57" s="27" t="s">
        <v>250</v>
      </c>
      <c r="D57" s="31"/>
      <c r="E57" s="31"/>
      <c r="F57" s="31"/>
      <c r="G57" s="31"/>
      <c r="H57" s="31"/>
      <c r="I57" s="31"/>
      <c r="J57" s="31"/>
      <c r="K57" s="31"/>
      <c r="L57" s="31"/>
      <c r="M57" s="31"/>
      <c r="N57" s="31"/>
      <c r="O57" s="31"/>
      <c r="P57" s="31"/>
      <c r="Q57" s="31"/>
      <c r="R57" s="31"/>
      <c r="S57" s="31"/>
      <c r="T57" s="31"/>
      <c r="U57" s="31"/>
    </row>
    <row r="58" spans="1:21" ht="39" customHeight="1" x14ac:dyDescent="0.3">
      <c r="A58" s="26" t="s">
        <v>105</v>
      </c>
      <c r="B58" s="19" t="s">
        <v>251</v>
      </c>
      <c r="C58" s="19" t="s">
        <v>252</v>
      </c>
      <c r="D58" s="31"/>
      <c r="E58" s="31"/>
      <c r="F58" s="31"/>
      <c r="G58" s="31"/>
      <c r="H58" s="31"/>
      <c r="I58" s="31"/>
      <c r="J58" s="31"/>
      <c r="K58" s="31"/>
      <c r="L58" s="31"/>
      <c r="M58" s="31"/>
      <c r="N58" s="31"/>
      <c r="O58" s="31"/>
      <c r="P58" s="31"/>
      <c r="Q58" s="31"/>
      <c r="R58" s="31"/>
      <c r="S58" s="31"/>
      <c r="T58" s="31"/>
      <c r="U58" s="31"/>
    </row>
    <row r="59" spans="1:21" x14ac:dyDescent="0.3">
      <c r="A59" s="26" t="s">
        <v>138</v>
      </c>
      <c r="B59" s="28" t="s">
        <v>139</v>
      </c>
      <c r="C59" s="28" t="s">
        <v>140</v>
      </c>
      <c r="D59" s="31"/>
      <c r="E59" s="31"/>
      <c r="F59" s="31"/>
      <c r="G59" s="31"/>
      <c r="H59" s="31"/>
      <c r="I59" s="31"/>
      <c r="J59" s="31"/>
      <c r="K59" s="31"/>
      <c r="L59" s="31"/>
      <c r="M59" s="31"/>
      <c r="N59" s="31"/>
      <c r="O59" s="31"/>
      <c r="P59" s="31"/>
      <c r="Q59" s="31"/>
      <c r="R59" s="31"/>
      <c r="S59" s="31"/>
      <c r="T59" s="31"/>
      <c r="U59" s="31"/>
    </row>
    <row r="60" spans="1:21" x14ac:dyDescent="0.3">
      <c r="A60" s="26" t="s">
        <v>144</v>
      </c>
      <c r="B60" s="28" t="s">
        <v>230</v>
      </c>
      <c r="C60" s="28" t="s">
        <v>148</v>
      </c>
      <c r="D60" s="31"/>
      <c r="E60" s="31"/>
      <c r="F60" s="31"/>
      <c r="G60" s="31"/>
      <c r="H60" s="31"/>
      <c r="I60" s="31"/>
      <c r="J60" s="31"/>
      <c r="K60" s="31"/>
      <c r="L60" s="31"/>
      <c r="M60" s="31"/>
      <c r="N60" s="31"/>
      <c r="O60" s="31"/>
      <c r="P60" s="31"/>
      <c r="Q60" s="31"/>
      <c r="R60" s="31"/>
      <c r="S60" s="31"/>
      <c r="T60" s="31"/>
      <c r="U60" s="31"/>
    </row>
    <row r="61" spans="1:21" ht="26.25" customHeight="1" x14ac:dyDescent="0.3">
      <c r="A61" s="29" t="s">
        <v>151</v>
      </c>
      <c r="B61" s="19" t="s">
        <v>171</v>
      </c>
      <c r="C61" s="19" t="s">
        <v>253</v>
      </c>
      <c r="D61" s="31"/>
      <c r="E61" s="31"/>
      <c r="F61" s="31"/>
      <c r="G61" s="31"/>
      <c r="H61" s="31"/>
      <c r="I61" s="31"/>
      <c r="J61" s="31"/>
      <c r="K61" s="31"/>
      <c r="L61" s="31"/>
      <c r="M61" s="31"/>
      <c r="N61" s="31"/>
      <c r="O61" s="31"/>
      <c r="P61" s="31"/>
      <c r="Q61" s="31"/>
      <c r="R61" s="31"/>
      <c r="S61" s="31"/>
      <c r="T61" s="31"/>
      <c r="U61" s="31"/>
    </row>
    <row r="62" spans="1:21" x14ac:dyDescent="0.3">
      <c r="A62" s="29" t="s">
        <v>176</v>
      </c>
      <c r="B62" s="30">
        <v>16</v>
      </c>
      <c r="C62" s="30">
        <v>16</v>
      </c>
      <c r="D62" s="32"/>
      <c r="E62" s="32"/>
      <c r="F62" s="32"/>
      <c r="G62" s="32"/>
      <c r="H62" s="32"/>
      <c r="I62" s="32"/>
      <c r="J62" s="32"/>
      <c r="K62" s="32"/>
      <c r="L62" s="32"/>
      <c r="M62" s="32"/>
      <c r="N62" s="32"/>
      <c r="O62" s="32"/>
      <c r="P62" s="32"/>
      <c r="Q62" s="32"/>
      <c r="R62" s="32"/>
      <c r="S62" s="32"/>
      <c r="T62" s="32"/>
      <c r="U62" s="32"/>
    </row>
    <row r="63" spans="1:21" ht="78.75" customHeight="1" x14ac:dyDescent="0.3">
      <c r="A63" s="29" t="s">
        <v>177</v>
      </c>
      <c r="B63" s="19" t="s">
        <v>254</v>
      </c>
      <c r="C63" s="19" t="s">
        <v>255</v>
      </c>
      <c r="D63" s="31"/>
      <c r="E63" s="31"/>
      <c r="F63" s="31"/>
      <c r="G63" s="31"/>
      <c r="H63" s="31"/>
      <c r="I63" s="31"/>
      <c r="J63" s="31"/>
      <c r="K63" s="31"/>
      <c r="L63" s="31"/>
      <c r="M63" s="31"/>
      <c r="N63" s="31"/>
      <c r="O63" s="31"/>
      <c r="P63" s="31"/>
      <c r="Q63" s="31"/>
      <c r="R63" s="31"/>
      <c r="S63" s="31"/>
      <c r="T63" s="31"/>
      <c r="U63" s="31"/>
    </row>
    <row r="64" spans="1:21" x14ac:dyDescent="0.3">
      <c r="A64" s="29" t="s">
        <v>195</v>
      </c>
      <c r="B64" s="28" t="s">
        <v>196</v>
      </c>
      <c r="C64" s="28" t="s">
        <v>196</v>
      </c>
      <c r="D64" s="31"/>
      <c r="E64" s="31"/>
      <c r="F64" s="31"/>
      <c r="G64" s="31"/>
      <c r="H64" s="31"/>
      <c r="I64" s="31"/>
      <c r="J64" s="31"/>
      <c r="K64" s="31"/>
      <c r="L64" s="31"/>
      <c r="M64" s="31"/>
      <c r="N64" s="31"/>
      <c r="O64" s="31"/>
      <c r="P64" s="31"/>
      <c r="Q64" s="31"/>
      <c r="R64" s="31"/>
      <c r="S64" s="31"/>
      <c r="T64" s="31"/>
      <c r="U64" s="31"/>
    </row>
    <row r="65" spans="1:21" ht="118.5" customHeight="1" x14ac:dyDescent="0.3">
      <c r="A65" s="29" t="s">
        <v>200</v>
      </c>
      <c r="B65" s="19" t="s">
        <v>256</v>
      </c>
      <c r="C65" s="19" t="s">
        <v>257</v>
      </c>
      <c r="D65" s="31"/>
      <c r="E65" s="31"/>
      <c r="F65" s="31"/>
      <c r="G65" s="31"/>
      <c r="H65" s="31"/>
      <c r="I65" s="31"/>
      <c r="J65" s="31"/>
      <c r="K65" s="31"/>
      <c r="L65" s="31"/>
      <c r="M65" s="31"/>
      <c r="N65" s="31"/>
      <c r="O65" s="31"/>
      <c r="P65" s="31"/>
      <c r="Q65" s="31"/>
      <c r="R65" s="31"/>
      <c r="S65" s="31"/>
      <c r="T65" s="31"/>
      <c r="U65" s="31"/>
    </row>
    <row r="70" spans="1:21" ht="14.25" customHeight="1" x14ac:dyDescent="0.3">
      <c r="A70" s="18" t="s">
        <v>54</v>
      </c>
      <c r="B70" s="4" t="s">
        <v>258</v>
      </c>
      <c r="C70" s="4"/>
      <c r="D70" s="4"/>
      <c r="E70" s="4"/>
      <c r="F70" s="4"/>
      <c r="G70" s="4"/>
      <c r="H70" s="4"/>
      <c r="I70" s="4"/>
      <c r="J70" s="4"/>
      <c r="K70" s="4"/>
      <c r="L70" s="4"/>
      <c r="M70" s="4"/>
      <c r="N70" s="4"/>
      <c r="O70" s="4"/>
      <c r="P70" s="4"/>
      <c r="Q70" s="4"/>
      <c r="R70" s="4"/>
      <c r="S70" s="4"/>
      <c r="T70" s="4"/>
      <c r="U70" s="4"/>
    </row>
    <row r="71" spans="1:21" ht="14.25" customHeight="1" x14ac:dyDescent="0.3">
      <c r="A71" s="18" t="s">
        <v>56</v>
      </c>
      <c r="B71" s="3" t="s">
        <v>259</v>
      </c>
      <c r="C71" s="3"/>
      <c r="D71" s="3"/>
      <c r="E71" s="3"/>
      <c r="F71" s="3"/>
      <c r="G71" s="3"/>
      <c r="H71" s="3"/>
      <c r="I71" s="3"/>
      <c r="J71" s="3"/>
      <c r="K71" s="3"/>
      <c r="L71" s="3"/>
      <c r="M71" s="3"/>
      <c r="N71" s="3"/>
      <c r="O71" s="3"/>
      <c r="P71" s="3"/>
      <c r="Q71" s="3"/>
      <c r="R71" s="3"/>
      <c r="S71" s="3"/>
      <c r="T71" s="3"/>
      <c r="U71" s="3"/>
    </row>
    <row r="72" spans="1:21" x14ac:dyDescent="0.3">
      <c r="A72" s="18" t="s">
        <v>58</v>
      </c>
      <c r="B72" s="20" t="s">
        <v>59</v>
      </c>
      <c r="C72" s="20" t="s">
        <v>60</v>
      </c>
      <c r="D72" s="2" t="s">
        <v>61</v>
      </c>
      <c r="E72" s="2"/>
      <c r="F72" s="2"/>
      <c r="G72" s="2"/>
      <c r="H72" s="2"/>
      <c r="I72" s="2"/>
      <c r="J72" s="2"/>
      <c r="K72" s="2"/>
      <c r="L72" s="2"/>
      <c r="M72" s="2"/>
      <c r="N72" s="2"/>
      <c r="O72" s="2"/>
      <c r="P72" s="2"/>
      <c r="Q72" s="2"/>
      <c r="R72" s="2"/>
      <c r="S72" s="2"/>
      <c r="T72" s="2"/>
      <c r="U72" s="2"/>
    </row>
    <row r="73" spans="1:21" ht="15" customHeight="1" x14ac:dyDescent="0.3">
      <c r="A73" s="18"/>
      <c r="B73" s="21" t="s">
        <v>62</v>
      </c>
      <c r="C73" s="21" t="s">
        <v>245</v>
      </c>
      <c r="D73" s="1" t="s">
        <v>260</v>
      </c>
      <c r="E73" s="1"/>
      <c r="F73" s="1"/>
      <c r="G73" s="1"/>
      <c r="H73" s="1"/>
      <c r="I73" s="1"/>
      <c r="J73" s="1"/>
      <c r="K73" s="1"/>
      <c r="L73" s="1"/>
      <c r="M73" s="1"/>
      <c r="N73" s="1"/>
      <c r="O73" s="1"/>
      <c r="P73" s="1"/>
      <c r="Q73" s="1"/>
      <c r="R73" s="1"/>
      <c r="S73" s="1"/>
      <c r="T73" s="1"/>
      <c r="U73" s="1"/>
    </row>
    <row r="74" spans="1:21" ht="14.25" customHeight="1" x14ac:dyDescent="0.3">
      <c r="A74" s="22" t="s">
        <v>65</v>
      </c>
      <c r="B74" s="4" t="s">
        <v>261</v>
      </c>
      <c r="C74" s="4"/>
      <c r="D74" s="4"/>
      <c r="E74" s="4"/>
      <c r="F74" s="4"/>
      <c r="G74" s="4"/>
      <c r="H74" s="4"/>
      <c r="I74" s="4"/>
      <c r="J74" s="4"/>
      <c r="K74" s="4"/>
      <c r="L74" s="4"/>
      <c r="M74" s="4"/>
      <c r="N74" s="4"/>
      <c r="O74" s="4"/>
      <c r="P74" s="4"/>
      <c r="Q74" s="4"/>
      <c r="R74" s="4"/>
      <c r="S74" s="4"/>
      <c r="T74" s="4"/>
      <c r="U74" s="4"/>
    </row>
    <row r="75" spans="1:21" ht="14.25" customHeight="1" x14ac:dyDescent="0.3">
      <c r="A75" s="22" t="s">
        <v>67</v>
      </c>
      <c r="B75" s="3" t="s">
        <v>262</v>
      </c>
      <c r="C75" s="3"/>
      <c r="D75" s="3"/>
      <c r="E75" s="3"/>
      <c r="F75" s="3"/>
      <c r="G75" s="3"/>
      <c r="H75" s="3"/>
      <c r="I75" s="3"/>
      <c r="J75" s="3"/>
      <c r="K75" s="3"/>
      <c r="L75" s="3"/>
      <c r="M75" s="3"/>
      <c r="N75" s="3"/>
      <c r="O75" s="3"/>
      <c r="P75" s="3"/>
      <c r="Q75" s="3"/>
      <c r="R75" s="3"/>
      <c r="S75" s="3"/>
      <c r="T75" s="3"/>
      <c r="U75" s="3"/>
    </row>
    <row r="76" spans="1:21" x14ac:dyDescent="0.3">
      <c r="A76" s="22" t="s">
        <v>69</v>
      </c>
      <c r="B76" s="20" t="s">
        <v>70</v>
      </c>
      <c r="C76" s="20" t="s">
        <v>71</v>
      </c>
      <c r="D76" s="23"/>
      <c r="E76" s="23"/>
      <c r="F76" s="23"/>
      <c r="G76" s="23"/>
      <c r="H76" s="23"/>
      <c r="I76" s="23"/>
      <c r="J76" s="23"/>
      <c r="K76" s="23"/>
      <c r="L76" s="23"/>
      <c r="M76" s="23"/>
      <c r="N76" s="23"/>
      <c r="O76" s="23"/>
      <c r="P76" s="23"/>
      <c r="Q76" s="23"/>
      <c r="R76" s="23"/>
      <c r="S76" s="23"/>
      <c r="T76" s="23"/>
      <c r="U76" s="23"/>
    </row>
    <row r="77" spans="1:21" x14ac:dyDescent="0.3">
      <c r="A77" s="22"/>
      <c r="B77" s="24">
        <v>63</v>
      </c>
      <c r="C77" s="24">
        <v>3</v>
      </c>
      <c r="D77" s="25"/>
      <c r="E77" s="25"/>
      <c r="F77" s="25"/>
      <c r="G77" s="25"/>
      <c r="H77" s="25"/>
      <c r="I77" s="25"/>
      <c r="J77" s="25"/>
      <c r="K77" s="25"/>
      <c r="L77" s="25"/>
      <c r="M77" s="25"/>
      <c r="N77" s="25"/>
      <c r="O77" s="25"/>
      <c r="P77" s="25"/>
      <c r="Q77" s="25"/>
      <c r="R77" s="25"/>
      <c r="S77" s="25"/>
      <c r="T77" s="25"/>
      <c r="U77" s="25"/>
    </row>
    <row r="79" spans="1:21" ht="26.25" customHeight="1" x14ac:dyDescent="0.3">
      <c r="A79" s="26" t="s">
        <v>72</v>
      </c>
      <c r="B79" s="27" t="s">
        <v>263</v>
      </c>
      <c r="C79" s="27" t="s">
        <v>264</v>
      </c>
      <c r="D79" s="27" t="s">
        <v>265</v>
      </c>
      <c r="E79" s="31"/>
      <c r="F79" s="31"/>
      <c r="G79" s="31"/>
      <c r="H79" s="31"/>
      <c r="I79" s="31"/>
      <c r="J79" s="31"/>
      <c r="K79" s="31"/>
      <c r="L79" s="31"/>
      <c r="M79" s="31"/>
      <c r="N79" s="31"/>
      <c r="O79" s="31"/>
      <c r="P79" s="31"/>
      <c r="Q79" s="31"/>
      <c r="R79" s="31"/>
      <c r="S79" s="31"/>
      <c r="T79" s="31"/>
      <c r="U79" s="31"/>
    </row>
    <row r="80" spans="1:21" ht="39" customHeight="1" x14ac:dyDescent="0.3">
      <c r="A80" s="26" t="s">
        <v>105</v>
      </c>
      <c r="B80" s="19" t="s">
        <v>266</v>
      </c>
      <c r="C80" s="19" t="s">
        <v>267</v>
      </c>
      <c r="D80" s="19" t="s">
        <v>268</v>
      </c>
      <c r="E80" s="31"/>
      <c r="F80" s="31"/>
      <c r="G80" s="31"/>
      <c r="H80" s="31"/>
      <c r="I80" s="31"/>
      <c r="J80" s="31"/>
      <c r="K80" s="31"/>
      <c r="L80" s="31"/>
      <c r="M80" s="31"/>
      <c r="N80" s="31"/>
      <c r="O80" s="31"/>
      <c r="P80" s="31"/>
      <c r="Q80" s="31"/>
      <c r="R80" s="31"/>
      <c r="S80" s="31"/>
      <c r="T80" s="31"/>
      <c r="U80" s="31"/>
    </row>
    <row r="81" spans="1:21" x14ac:dyDescent="0.3">
      <c r="A81" s="26" t="s">
        <v>138</v>
      </c>
      <c r="B81" s="28" t="s">
        <v>139</v>
      </c>
      <c r="C81" s="28" t="s">
        <v>140</v>
      </c>
      <c r="D81" s="28" t="s">
        <v>140</v>
      </c>
      <c r="E81" s="31"/>
      <c r="F81" s="31"/>
      <c r="G81" s="31"/>
      <c r="H81" s="31"/>
      <c r="I81" s="31"/>
      <c r="J81" s="31"/>
      <c r="K81" s="31"/>
      <c r="L81" s="31"/>
      <c r="M81" s="31"/>
      <c r="N81" s="31"/>
      <c r="O81" s="31"/>
      <c r="P81" s="31"/>
      <c r="Q81" s="31"/>
      <c r="R81" s="31"/>
      <c r="S81" s="31"/>
      <c r="T81" s="31"/>
      <c r="U81" s="31"/>
    </row>
    <row r="82" spans="1:21" x14ac:dyDescent="0.3">
      <c r="A82" s="26" t="s">
        <v>144</v>
      </c>
      <c r="B82" s="28" t="s">
        <v>230</v>
      </c>
      <c r="C82" s="28" t="s">
        <v>148</v>
      </c>
      <c r="D82" s="28" t="s">
        <v>148</v>
      </c>
      <c r="E82" s="31"/>
      <c r="F82" s="31"/>
      <c r="G82" s="31"/>
      <c r="H82" s="31"/>
      <c r="I82" s="31"/>
      <c r="J82" s="31"/>
      <c r="K82" s="31"/>
      <c r="L82" s="31"/>
      <c r="M82" s="31"/>
      <c r="N82" s="31"/>
      <c r="O82" s="31"/>
      <c r="P82" s="31"/>
      <c r="Q82" s="31"/>
      <c r="R82" s="31"/>
      <c r="S82" s="31"/>
      <c r="T82" s="31"/>
      <c r="U82" s="31"/>
    </row>
    <row r="83" spans="1:21" ht="26.25" customHeight="1" x14ac:dyDescent="0.3">
      <c r="A83" s="29" t="s">
        <v>151</v>
      </c>
      <c r="B83" s="19" t="s">
        <v>171</v>
      </c>
      <c r="C83" s="19" t="s">
        <v>269</v>
      </c>
      <c r="D83" s="19" t="s">
        <v>270</v>
      </c>
      <c r="E83" s="31"/>
      <c r="F83" s="31"/>
      <c r="G83" s="31"/>
      <c r="H83" s="31"/>
      <c r="I83" s="31"/>
      <c r="J83" s="31"/>
      <c r="K83" s="31"/>
      <c r="L83" s="31"/>
      <c r="M83" s="31"/>
      <c r="N83" s="31"/>
      <c r="O83" s="31"/>
      <c r="P83" s="31"/>
      <c r="Q83" s="31"/>
      <c r="R83" s="31"/>
      <c r="S83" s="31"/>
      <c r="T83" s="31"/>
      <c r="U83" s="31"/>
    </row>
    <row r="84" spans="1:21" x14ac:dyDescent="0.3">
      <c r="A84" s="29" t="s">
        <v>176</v>
      </c>
      <c r="B84" s="30">
        <v>63</v>
      </c>
      <c r="C84" s="30">
        <v>59</v>
      </c>
      <c r="D84" s="30">
        <v>37</v>
      </c>
      <c r="E84" s="32"/>
      <c r="F84" s="32"/>
      <c r="G84" s="32"/>
      <c r="H84" s="32"/>
      <c r="I84" s="32"/>
      <c r="J84" s="32"/>
      <c r="K84" s="32"/>
      <c r="L84" s="32"/>
      <c r="M84" s="32"/>
      <c r="N84" s="32"/>
      <c r="O84" s="32"/>
      <c r="P84" s="32"/>
      <c r="Q84" s="32"/>
      <c r="R84" s="32"/>
      <c r="S84" s="32"/>
      <c r="T84" s="32"/>
      <c r="U84" s="32"/>
    </row>
    <row r="85" spans="1:21" ht="78.75" customHeight="1" x14ac:dyDescent="0.3">
      <c r="A85" s="29" t="s">
        <v>177</v>
      </c>
      <c r="B85" s="19" t="s">
        <v>179</v>
      </c>
      <c r="C85" s="19" t="s">
        <v>179</v>
      </c>
      <c r="D85" s="19" t="s">
        <v>179</v>
      </c>
      <c r="E85" s="31"/>
      <c r="F85" s="31"/>
      <c r="G85" s="31"/>
      <c r="H85" s="31"/>
      <c r="I85" s="31"/>
      <c r="J85" s="31"/>
      <c r="K85" s="31"/>
      <c r="L85" s="31"/>
      <c r="M85" s="31"/>
      <c r="N85" s="31"/>
      <c r="O85" s="31"/>
      <c r="P85" s="31"/>
      <c r="Q85" s="31"/>
      <c r="R85" s="31"/>
      <c r="S85" s="31"/>
      <c r="T85" s="31"/>
      <c r="U85" s="31"/>
    </row>
    <row r="86" spans="1:21" x14ac:dyDescent="0.3">
      <c r="A86" s="29" t="s">
        <v>195</v>
      </c>
      <c r="B86" s="28" t="s">
        <v>196</v>
      </c>
      <c r="C86" s="28" t="s">
        <v>196</v>
      </c>
      <c r="D86" s="28" t="s">
        <v>271</v>
      </c>
      <c r="E86" s="31"/>
      <c r="F86" s="31"/>
      <c r="G86" s="31"/>
      <c r="H86" s="31"/>
      <c r="I86" s="31"/>
      <c r="J86" s="31"/>
      <c r="K86" s="31"/>
      <c r="L86" s="31"/>
      <c r="M86" s="31"/>
      <c r="N86" s="31"/>
      <c r="O86" s="31"/>
      <c r="P86" s="31"/>
      <c r="Q86" s="31"/>
      <c r="R86" s="31"/>
      <c r="S86" s="31"/>
      <c r="T86" s="31"/>
      <c r="U86" s="31"/>
    </row>
    <row r="87" spans="1:21" ht="118.5" customHeight="1" x14ac:dyDescent="0.3">
      <c r="A87" s="29" t="s">
        <v>200</v>
      </c>
      <c r="B87" s="19" t="s">
        <v>201</v>
      </c>
      <c r="C87" s="19" t="s">
        <v>272</v>
      </c>
      <c r="D87" s="19" t="s">
        <v>273</v>
      </c>
      <c r="E87" s="31"/>
      <c r="F87" s="31"/>
      <c r="G87" s="31"/>
      <c r="H87" s="31"/>
      <c r="I87" s="31"/>
      <c r="J87" s="31"/>
      <c r="K87" s="31"/>
      <c r="L87" s="31"/>
      <c r="M87" s="31"/>
      <c r="N87" s="31"/>
      <c r="O87" s="31"/>
      <c r="P87" s="31"/>
      <c r="Q87" s="31"/>
      <c r="R87" s="31"/>
      <c r="S87" s="31"/>
      <c r="T87" s="31"/>
      <c r="U87" s="31"/>
    </row>
    <row r="92" spans="1:21" ht="14.25" customHeight="1" x14ac:dyDescent="0.3">
      <c r="A92" s="18" t="s">
        <v>54</v>
      </c>
      <c r="B92" s="4" t="s">
        <v>274</v>
      </c>
      <c r="C92" s="4"/>
      <c r="D92" s="4"/>
      <c r="E92" s="4"/>
      <c r="F92" s="4"/>
      <c r="G92" s="4"/>
      <c r="H92" s="4"/>
      <c r="I92" s="4"/>
      <c r="J92" s="4"/>
      <c r="K92" s="4"/>
      <c r="L92" s="4"/>
      <c r="M92" s="4"/>
      <c r="N92" s="4"/>
      <c r="O92" s="4"/>
      <c r="P92" s="4"/>
      <c r="Q92" s="4"/>
      <c r="R92" s="4"/>
      <c r="S92" s="4"/>
      <c r="T92" s="4"/>
      <c r="U92" s="4"/>
    </row>
    <row r="93" spans="1:21" ht="14.25" customHeight="1" x14ac:dyDescent="0.3">
      <c r="A93" s="18" t="s">
        <v>56</v>
      </c>
      <c r="B93" s="3" t="s">
        <v>275</v>
      </c>
      <c r="C93" s="3"/>
      <c r="D93" s="3"/>
      <c r="E93" s="3"/>
      <c r="F93" s="3"/>
      <c r="G93" s="3"/>
      <c r="H93" s="3"/>
      <c r="I93" s="3"/>
      <c r="J93" s="3"/>
      <c r="K93" s="3"/>
      <c r="L93" s="3"/>
      <c r="M93" s="3"/>
      <c r="N93" s="3"/>
      <c r="O93" s="3"/>
      <c r="P93" s="3"/>
      <c r="Q93" s="3"/>
      <c r="R93" s="3"/>
      <c r="S93" s="3"/>
      <c r="T93" s="3"/>
      <c r="U93" s="3"/>
    </row>
    <row r="94" spans="1:21" x14ac:dyDescent="0.3">
      <c r="A94" s="18" t="s">
        <v>58</v>
      </c>
      <c r="B94" s="20" t="s">
        <v>59</v>
      </c>
      <c r="C94" s="20" t="s">
        <v>60</v>
      </c>
      <c r="D94" s="2" t="s">
        <v>61</v>
      </c>
      <c r="E94" s="2"/>
      <c r="F94" s="2"/>
      <c r="G94" s="2"/>
      <c r="H94" s="2"/>
      <c r="I94" s="2"/>
      <c r="J94" s="2"/>
      <c r="K94" s="2"/>
      <c r="L94" s="2"/>
      <c r="M94" s="2"/>
      <c r="N94" s="2"/>
      <c r="O94" s="2"/>
      <c r="P94" s="2"/>
      <c r="Q94" s="2"/>
      <c r="R94" s="2"/>
      <c r="S94" s="2"/>
      <c r="T94" s="2"/>
      <c r="U94" s="2"/>
    </row>
    <row r="95" spans="1:21" ht="15" customHeight="1" x14ac:dyDescent="0.3">
      <c r="A95" s="18"/>
      <c r="B95" s="21" t="s">
        <v>62</v>
      </c>
      <c r="C95" s="21" t="s">
        <v>276</v>
      </c>
      <c r="D95" s="1" t="s">
        <v>277</v>
      </c>
      <c r="E95" s="1"/>
      <c r="F95" s="1"/>
      <c r="G95" s="1"/>
      <c r="H95" s="1"/>
      <c r="I95" s="1"/>
      <c r="J95" s="1"/>
      <c r="K95" s="1"/>
      <c r="L95" s="1"/>
      <c r="M95" s="1"/>
      <c r="N95" s="1"/>
      <c r="O95" s="1"/>
      <c r="P95" s="1"/>
      <c r="Q95" s="1"/>
      <c r="R95" s="1"/>
      <c r="S95" s="1"/>
      <c r="T95" s="1"/>
      <c r="U95" s="1"/>
    </row>
    <row r="96" spans="1:21" ht="14.25" customHeight="1" x14ac:dyDescent="0.3">
      <c r="A96" s="22" t="s">
        <v>65</v>
      </c>
      <c r="B96" s="4" t="s">
        <v>278</v>
      </c>
      <c r="C96" s="4"/>
      <c r="D96" s="4"/>
      <c r="E96" s="4"/>
      <c r="F96" s="4"/>
      <c r="G96" s="4"/>
      <c r="H96" s="4"/>
      <c r="I96" s="4"/>
      <c r="J96" s="4"/>
      <c r="K96" s="4"/>
      <c r="L96" s="4"/>
      <c r="M96" s="4"/>
      <c r="N96" s="4"/>
      <c r="O96" s="4"/>
      <c r="P96" s="4"/>
      <c r="Q96" s="4"/>
      <c r="R96" s="4"/>
      <c r="S96" s="4"/>
      <c r="T96" s="4"/>
      <c r="U96" s="4"/>
    </row>
    <row r="97" spans="1:29" ht="14.25" customHeight="1" x14ac:dyDescent="0.3">
      <c r="A97" s="22" t="s">
        <v>67</v>
      </c>
      <c r="B97" s="3" t="s">
        <v>279</v>
      </c>
      <c r="C97" s="3"/>
      <c r="D97" s="3"/>
      <c r="E97" s="3"/>
      <c r="F97" s="3"/>
      <c r="G97" s="3"/>
      <c r="H97" s="3"/>
      <c r="I97" s="3"/>
      <c r="J97" s="3"/>
      <c r="K97" s="3"/>
      <c r="L97" s="3"/>
      <c r="M97" s="3"/>
      <c r="N97" s="3"/>
      <c r="O97" s="3"/>
      <c r="P97" s="3"/>
      <c r="Q97" s="3"/>
      <c r="R97" s="3"/>
      <c r="S97" s="3"/>
      <c r="T97" s="3"/>
      <c r="U97" s="3"/>
    </row>
    <row r="98" spans="1:29" x14ac:dyDescent="0.3">
      <c r="A98" s="22" t="s">
        <v>69</v>
      </c>
      <c r="B98" s="20" t="s">
        <v>70</v>
      </c>
      <c r="C98" s="20" t="s">
        <v>71</v>
      </c>
      <c r="D98" s="23"/>
      <c r="E98" s="23"/>
      <c r="F98" s="23"/>
      <c r="G98" s="23"/>
      <c r="H98" s="23"/>
      <c r="I98" s="23"/>
      <c r="J98" s="23"/>
      <c r="K98" s="23"/>
      <c r="L98" s="23"/>
      <c r="M98" s="23"/>
      <c r="N98" s="23"/>
      <c r="O98" s="23"/>
      <c r="P98" s="23"/>
      <c r="Q98" s="23"/>
      <c r="R98" s="23"/>
      <c r="S98" s="23"/>
      <c r="T98" s="23"/>
      <c r="U98" s="23"/>
    </row>
    <row r="99" spans="1:29" x14ac:dyDescent="0.3">
      <c r="A99" s="22"/>
      <c r="B99" s="24">
        <v>1212</v>
      </c>
      <c r="C99" s="24">
        <v>28</v>
      </c>
      <c r="D99" s="25"/>
      <c r="E99" s="25"/>
      <c r="F99" s="25"/>
      <c r="G99" s="25"/>
      <c r="H99" s="25"/>
      <c r="I99" s="25"/>
      <c r="J99" s="25"/>
      <c r="K99" s="25"/>
      <c r="L99" s="25"/>
      <c r="M99" s="25"/>
      <c r="N99" s="25"/>
      <c r="O99" s="25"/>
      <c r="P99" s="25"/>
      <c r="Q99" s="25"/>
      <c r="R99" s="25"/>
      <c r="S99" s="25"/>
      <c r="T99" s="25"/>
      <c r="U99" s="25"/>
    </row>
    <row r="101" spans="1:29" ht="26.25" customHeight="1" x14ac:dyDescent="0.3">
      <c r="A101" s="26" t="s">
        <v>72</v>
      </c>
      <c r="B101" s="27" t="s">
        <v>74</v>
      </c>
      <c r="C101" s="27" t="s">
        <v>73</v>
      </c>
      <c r="D101" s="27" t="s">
        <v>280</v>
      </c>
      <c r="E101" s="27" t="s">
        <v>265</v>
      </c>
      <c r="F101" s="27" t="s">
        <v>281</v>
      </c>
      <c r="G101" s="27" t="s">
        <v>282</v>
      </c>
      <c r="H101" s="27" t="s">
        <v>283</v>
      </c>
      <c r="I101" s="27" t="s">
        <v>284</v>
      </c>
      <c r="J101" s="27" t="s">
        <v>285</v>
      </c>
      <c r="K101" s="27" t="s">
        <v>286</v>
      </c>
      <c r="L101" s="27" t="s">
        <v>287</v>
      </c>
      <c r="M101" s="27" t="s">
        <v>288</v>
      </c>
      <c r="N101" s="27" t="s">
        <v>289</v>
      </c>
      <c r="O101" s="27" t="s">
        <v>264</v>
      </c>
      <c r="P101" s="27" t="s">
        <v>290</v>
      </c>
      <c r="Q101" s="27" t="s">
        <v>291</v>
      </c>
      <c r="R101" s="27" t="s">
        <v>292</v>
      </c>
      <c r="S101" s="27" t="s">
        <v>293</v>
      </c>
      <c r="T101" s="27" t="s">
        <v>294</v>
      </c>
      <c r="U101" s="27" t="s">
        <v>295</v>
      </c>
      <c r="V101" s="27" t="s">
        <v>296</v>
      </c>
      <c r="W101" s="27" t="s">
        <v>297</v>
      </c>
      <c r="X101" s="27" t="s">
        <v>298</v>
      </c>
      <c r="Y101" s="27" t="s">
        <v>299</v>
      </c>
      <c r="Z101" s="27" t="s">
        <v>300</v>
      </c>
      <c r="AA101" s="27" t="s">
        <v>301</v>
      </c>
      <c r="AB101" s="27" t="s">
        <v>302</v>
      </c>
      <c r="AC101" s="27" t="s">
        <v>303</v>
      </c>
    </row>
    <row r="102" spans="1:29" ht="39" customHeight="1" x14ac:dyDescent="0.3">
      <c r="A102" s="26" t="s">
        <v>105</v>
      </c>
      <c r="B102" s="19" t="s">
        <v>304</v>
      </c>
      <c r="C102" s="19" t="s">
        <v>305</v>
      </c>
      <c r="D102" s="19" t="s">
        <v>306</v>
      </c>
      <c r="E102" s="19" t="s">
        <v>307</v>
      </c>
      <c r="F102" s="19" t="s">
        <v>308</v>
      </c>
      <c r="G102" s="19" t="s">
        <v>309</v>
      </c>
      <c r="H102" s="19" t="s">
        <v>310</v>
      </c>
      <c r="I102" s="19" t="s">
        <v>311</v>
      </c>
      <c r="J102" s="19" t="s">
        <v>312</v>
      </c>
      <c r="K102" s="19" t="s">
        <v>313</v>
      </c>
      <c r="L102" s="19" t="s">
        <v>314</v>
      </c>
      <c r="M102" s="19" t="s">
        <v>315</v>
      </c>
      <c r="N102" s="19" t="s">
        <v>316</v>
      </c>
      <c r="O102" s="19" t="s">
        <v>317</v>
      </c>
      <c r="P102" s="19" t="s">
        <v>318</v>
      </c>
      <c r="Q102" s="19" t="s">
        <v>319</v>
      </c>
      <c r="R102" s="19" t="s">
        <v>320</v>
      </c>
      <c r="S102" s="19" t="s">
        <v>321</v>
      </c>
      <c r="T102" s="19" t="s">
        <v>322</v>
      </c>
      <c r="U102" s="19" t="s">
        <v>323</v>
      </c>
      <c r="V102" s="19" t="s">
        <v>324</v>
      </c>
      <c r="W102" s="19" t="s">
        <v>325</v>
      </c>
      <c r="X102" s="19" t="s">
        <v>326</v>
      </c>
      <c r="Y102" s="19" t="s">
        <v>327</v>
      </c>
      <c r="Z102" s="19" t="s">
        <v>328</v>
      </c>
      <c r="AA102" s="19" t="s">
        <v>329</v>
      </c>
      <c r="AB102" s="19" t="s">
        <v>330</v>
      </c>
      <c r="AC102" s="19" t="s">
        <v>331</v>
      </c>
    </row>
    <row r="103" spans="1:29" x14ac:dyDescent="0.3">
      <c r="A103" s="26" t="s">
        <v>138</v>
      </c>
      <c r="B103" s="28" t="s">
        <v>139</v>
      </c>
      <c r="C103" s="28" t="s">
        <v>139</v>
      </c>
      <c r="D103" s="28" t="s">
        <v>141</v>
      </c>
      <c r="E103" s="28" t="s">
        <v>140</v>
      </c>
      <c r="F103" s="28" t="s">
        <v>332</v>
      </c>
      <c r="G103" s="28" t="s">
        <v>140</v>
      </c>
      <c r="H103" s="28" t="s">
        <v>141</v>
      </c>
      <c r="I103" s="28" t="s">
        <v>140</v>
      </c>
      <c r="J103" s="28" t="s">
        <v>140</v>
      </c>
      <c r="K103" s="28" t="s">
        <v>140</v>
      </c>
      <c r="L103" s="28" t="s">
        <v>141</v>
      </c>
      <c r="M103" s="28" t="s">
        <v>140</v>
      </c>
      <c r="N103" s="28" t="s">
        <v>140</v>
      </c>
      <c r="O103" s="28" t="s">
        <v>140</v>
      </c>
      <c r="P103" s="28" t="s">
        <v>140</v>
      </c>
      <c r="Q103" s="28" t="s">
        <v>140</v>
      </c>
      <c r="R103" s="28" t="s">
        <v>140</v>
      </c>
      <c r="S103" s="28" t="s">
        <v>140</v>
      </c>
      <c r="T103" s="28" t="s">
        <v>140</v>
      </c>
      <c r="U103" s="28" t="s">
        <v>141</v>
      </c>
      <c r="V103" s="28" t="s">
        <v>141</v>
      </c>
      <c r="W103" s="28" t="s">
        <v>140</v>
      </c>
      <c r="X103" s="28" t="s">
        <v>140</v>
      </c>
      <c r="Y103" s="28" t="s">
        <v>139</v>
      </c>
      <c r="Z103" s="28" t="s">
        <v>139</v>
      </c>
      <c r="AA103" s="28" t="s">
        <v>139</v>
      </c>
      <c r="AB103" s="28" t="s">
        <v>139</v>
      </c>
      <c r="AC103" s="28" t="s">
        <v>139</v>
      </c>
    </row>
    <row r="104" spans="1:29" ht="26.4" x14ac:dyDescent="0.3">
      <c r="A104" s="26" t="s">
        <v>144</v>
      </c>
      <c r="B104" s="28" t="s">
        <v>230</v>
      </c>
      <c r="C104" s="28" t="s">
        <v>333</v>
      </c>
      <c r="D104" s="28" t="s">
        <v>148</v>
      </c>
      <c r="E104" s="28" t="s">
        <v>148</v>
      </c>
      <c r="F104" s="28" t="s">
        <v>148</v>
      </c>
      <c r="G104" s="28" t="s">
        <v>148</v>
      </c>
      <c r="H104" s="28" t="s">
        <v>148</v>
      </c>
      <c r="I104" s="28" t="s">
        <v>148</v>
      </c>
      <c r="J104" s="28" t="s">
        <v>148</v>
      </c>
      <c r="K104" s="28" t="s">
        <v>148</v>
      </c>
      <c r="L104" s="28" t="s">
        <v>148</v>
      </c>
      <c r="M104" s="28" t="s">
        <v>148</v>
      </c>
      <c r="N104" s="28" t="s">
        <v>148</v>
      </c>
      <c r="O104" s="28" t="s">
        <v>334</v>
      </c>
      <c r="P104" s="28" t="s">
        <v>150</v>
      </c>
      <c r="Q104" s="28" t="s">
        <v>150</v>
      </c>
      <c r="R104" s="28" t="s">
        <v>150</v>
      </c>
      <c r="S104" s="28" t="s">
        <v>148</v>
      </c>
      <c r="T104" s="28" t="s">
        <v>150</v>
      </c>
      <c r="U104" s="28" t="s">
        <v>148</v>
      </c>
      <c r="V104" s="28" t="s">
        <v>148</v>
      </c>
      <c r="W104" s="28" t="s">
        <v>148</v>
      </c>
      <c r="X104" s="28" t="s">
        <v>147</v>
      </c>
      <c r="Y104" s="28" t="s">
        <v>149</v>
      </c>
      <c r="Z104" s="28" t="s">
        <v>149</v>
      </c>
      <c r="AA104" s="28" t="s">
        <v>149</v>
      </c>
      <c r="AB104" s="28" t="s">
        <v>149</v>
      </c>
      <c r="AC104" s="28" t="s">
        <v>335</v>
      </c>
    </row>
    <row r="105" spans="1:29" ht="26.25" customHeight="1" x14ac:dyDescent="0.3">
      <c r="A105" s="29" t="s">
        <v>151</v>
      </c>
      <c r="B105" s="19" t="s">
        <v>336</v>
      </c>
      <c r="C105" s="19" t="s">
        <v>152</v>
      </c>
      <c r="D105" s="19" t="s">
        <v>337</v>
      </c>
      <c r="E105" s="19" t="s">
        <v>270</v>
      </c>
      <c r="F105" s="19" t="s">
        <v>338</v>
      </c>
      <c r="G105" s="19" t="s">
        <v>339</v>
      </c>
      <c r="H105" s="19" t="s">
        <v>340</v>
      </c>
      <c r="I105" s="19" t="s">
        <v>341</v>
      </c>
      <c r="J105" s="19" t="s">
        <v>342</v>
      </c>
      <c r="K105" s="19" t="s">
        <v>342</v>
      </c>
      <c r="L105" s="19" t="s">
        <v>343</v>
      </c>
      <c r="M105" s="19" t="s">
        <v>152</v>
      </c>
      <c r="N105" s="19" t="s">
        <v>344</v>
      </c>
      <c r="O105" s="19" t="s">
        <v>269</v>
      </c>
      <c r="P105" s="19" t="s">
        <v>345</v>
      </c>
      <c r="Q105" s="19" t="s">
        <v>346</v>
      </c>
      <c r="R105" s="19" t="s">
        <v>347</v>
      </c>
      <c r="S105" s="19" t="s">
        <v>348</v>
      </c>
      <c r="T105" s="19" t="s">
        <v>349</v>
      </c>
      <c r="U105" s="19" t="s">
        <v>350</v>
      </c>
      <c r="V105" s="19" t="s">
        <v>351</v>
      </c>
      <c r="W105" s="19" t="s">
        <v>352</v>
      </c>
      <c r="X105" s="19" t="s">
        <v>353</v>
      </c>
      <c r="Y105" s="19" t="s">
        <v>354</v>
      </c>
      <c r="Z105" s="19" t="s">
        <v>355</v>
      </c>
      <c r="AA105" s="19" t="s">
        <v>356</v>
      </c>
      <c r="AB105" s="19" t="s">
        <v>357</v>
      </c>
      <c r="AC105" s="19" t="s">
        <v>358</v>
      </c>
    </row>
    <row r="106" spans="1:29" x14ac:dyDescent="0.3">
      <c r="A106" s="29" t="s">
        <v>176</v>
      </c>
      <c r="B106" s="30">
        <v>1212</v>
      </c>
      <c r="C106" s="30">
        <v>19</v>
      </c>
      <c r="D106" s="30">
        <v>1</v>
      </c>
      <c r="E106" s="30">
        <v>37</v>
      </c>
      <c r="F106" s="30">
        <v>920</v>
      </c>
      <c r="G106" s="30">
        <v>1</v>
      </c>
      <c r="H106" s="30">
        <v>72</v>
      </c>
      <c r="I106" s="30">
        <v>1</v>
      </c>
      <c r="J106" s="30">
        <v>1</v>
      </c>
      <c r="K106" s="30">
        <v>1</v>
      </c>
      <c r="L106" s="30">
        <v>1</v>
      </c>
      <c r="M106" s="30">
        <v>19</v>
      </c>
      <c r="N106" s="30">
        <v>1</v>
      </c>
      <c r="O106" s="30">
        <v>59</v>
      </c>
      <c r="P106" s="30">
        <v>14</v>
      </c>
      <c r="Q106" s="30">
        <v>14</v>
      </c>
      <c r="R106" s="30">
        <v>14</v>
      </c>
      <c r="S106" s="30">
        <v>2</v>
      </c>
      <c r="T106" s="30">
        <v>14</v>
      </c>
      <c r="U106" s="30">
        <v>103</v>
      </c>
      <c r="V106" s="30">
        <v>10</v>
      </c>
      <c r="W106" s="30">
        <v>3</v>
      </c>
      <c r="X106" s="30">
        <v>318</v>
      </c>
      <c r="Y106" s="30">
        <v>14</v>
      </c>
      <c r="Z106" s="30">
        <v>14</v>
      </c>
      <c r="AA106" s="30">
        <v>14</v>
      </c>
      <c r="AB106" s="30">
        <v>14</v>
      </c>
      <c r="AC106" s="30">
        <v>318</v>
      </c>
    </row>
    <row r="107" spans="1:29" ht="78.75" customHeight="1" x14ac:dyDescent="0.3">
      <c r="A107" s="29" t="s">
        <v>177</v>
      </c>
      <c r="B107" s="19" t="s">
        <v>179</v>
      </c>
      <c r="C107" s="19" t="s">
        <v>178</v>
      </c>
      <c r="D107" s="19" t="s">
        <v>359</v>
      </c>
      <c r="E107" s="19" t="s">
        <v>179</v>
      </c>
      <c r="F107" s="19" t="s">
        <v>179</v>
      </c>
      <c r="G107" s="19" t="s">
        <v>360</v>
      </c>
      <c r="H107" s="19" t="s">
        <v>179</v>
      </c>
      <c r="I107" s="19" t="s">
        <v>361</v>
      </c>
      <c r="J107" s="19" t="s">
        <v>362</v>
      </c>
      <c r="K107" s="19" t="s">
        <v>362</v>
      </c>
      <c r="L107" s="19" t="s">
        <v>363</v>
      </c>
      <c r="M107" s="19" t="s">
        <v>364</v>
      </c>
      <c r="N107" s="19" t="s">
        <v>365</v>
      </c>
      <c r="O107" s="19" t="s">
        <v>179</v>
      </c>
      <c r="P107" s="19" t="s">
        <v>194</v>
      </c>
      <c r="Q107" s="19" t="s">
        <v>194</v>
      </c>
      <c r="R107" s="19" t="s">
        <v>194</v>
      </c>
      <c r="S107" s="19" t="s">
        <v>366</v>
      </c>
      <c r="T107" s="19" t="s">
        <v>194</v>
      </c>
      <c r="U107" s="19" t="s">
        <v>179</v>
      </c>
      <c r="V107" s="19" t="s">
        <v>367</v>
      </c>
      <c r="W107" s="19" t="s">
        <v>368</v>
      </c>
      <c r="X107" s="19" t="s">
        <v>179</v>
      </c>
      <c r="Y107" s="19" t="s">
        <v>193</v>
      </c>
      <c r="Z107" s="19" t="s">
        <v>193</v>
      </c>
      <c r="AA107" s="19" t="s">
        <v>193</v>
      </c>
      <c r="AB107" s="19" t="s">
        <v>193</v>
      </c>
      <c r="AC107" s="19" t="s">
        <v>179</v>
      </c>
    </row>
    <row r="108" spans="1:29" x14ac:dyDescent="0.3">
      <c r="A108" s="29" t="s">
        <v>195</v>
      </c>
      <c r="B108" s="28" t="s">
        <v>196</v>
      </c>
      <c r="C108" s="28" t="s">
        <v>196</v>
      </c>
      <c r="D108" s="28" t="s">
        <v>196</v>
      </c>
      <c r="E108" s="28" t="s">
        <v>369</v>
      </c>
      <c r="F108" s="28" t="s">
        <v>196</v>
      </c>
      <c r="G108" s="28" t="s">
        <v>196</v>
      </c>
      <c r="H108" s="28" t="s">
        <v>370</v>
      </c>
      <c r="I108" s="28" t="s">
        <v>196</v>
      </c>
      <c r="J108" s="28" t="s">
        <v>196</v>
      </c>
      <c r="K108" s="28" t="s">
        <v>196</v>
      </c>
      <c r="L108" s="28" t="s">
        <v>196</v>
      </c>
      <c r="M108" s="28" t="s">
        <v>196</v>
      </c>
      <c r="N108" s="28" t="s">
        <v>196</v>
      </c>
      <c r="O108" s="28" t="s">
        <v>196</v>
      </c>
      <c r="P108" s="28" t="s">
        <v>196</v>
      </c>
      <c r="Q108" s="28" t="s">
        <v>196</v>
      </c>
      <c r="R108" s="28" t="s">
        <v>196</v>
      </c>
      <c r="S108" s="28" t="s">
        <v>196</v>
      </c>
      <c r="T108" s="28" t="s">
        <v>196</v>
      </c>
      <c r="U108" s="28" t="s">
        <v>371</v>
      </c>
      <c r="V108" s="28" t="s">
        <v>372</v>
      </c>
      <c r="W108" s="28" t="s">
        <v>196</v>
      </c>
      <c r="X108" s="28" t="s">
        <v>373</v>
      </c>
      <c r="Y108" s="28" t="s">
        <v>196</v>
      </c>
      <c r="Z108" s="28" t="s">
        <v>196</v>
      </c>
      <c r="AA108" s="28" t="s">
        <v>196</v>
      </c>
      <c r="AB108" s="28" t="s">
        <v>196</v>
      </c>
      <c r="AC108" s="28" t="s">
        <v>373</v>
      </c>
    </row>
    <row r="109" spans="1:29" ht="118.5" customHeight="1" x14ac:dyDescent="0.3">
      <c r="A109" s="29" t="s">
        <v>200</v>
      </c>
      <c r="B109" s="19" t="s">
        <v>201</v>
      </c>
      <c r="C109" s="19" t="s">
        <v>374</v>
      </c>
      <c r="D109" s="19" t="s">
        <v>375</v>
      </c>
      <c r="E109" s="19" t="s">
        <v>376</v>
      </c>
      <c r="F109" s="19" t="s">
        <v>201</v>
      </c>
      <c r="G109" s="19" t="s">
        <v>377</v>
      </c>
      <c r="H109" s="19" t="s">
        <v>378</v>
      </c>
      <c r="I109" s="19" t="s">
        <v>379</v>
      </c>
      <c r="J109" s="19" t="s">
        <v>380</v>
      </c>
      <c r="K109" s="19" t="s">
        <v>381</v>
      </c>
      <c r="L109" s="19" t="s">
        <v>382</v>
      </c>
      <c r="M109" s="19" t="s">
        <v>383</v>
      </c>
      <c r="N109" s="19" t="s">
        <v>384</v>
      </c>
      <c r="O109" s="19" t="s">
        <v>385</v>
      </c>
      <c r="P109" s="19" t="s">
        <v>201</v>
      </c>
      <c r="Q109" s="19" t="s">
        <v>386</v>
      </c>
      <c r="R109" s="19" t="s">
        <v>201</v>
      </c>
      <c r="S109" s="19" t="s">
        <v>201</v>
      </c>
      <c r="T109" s="19" t="s">
        <v>201</v>
      </c>
      <c r="U109" s="19" t="s">
        <v>387</v>
      </c>
      <c r="V109" s="19" t="s">
        <v>388</v>
      </c>
      <c r="W109" s="19" t="s">
        <v>201</v>
      </c>
      <c r="X109" s="19" t="s">
        <v>389</v>
      </c>
      <c r="Y109" s="19" t="s">
        <v>201</v>
      </c>
      <c r="Z109" s="19" t="s">
        <v>201</v>
      </c>
      <c r="AA109" s="19" t="s">
        <v>201</v>
      </c>
      <c r="AB109" s="19" t="s">
        <v>390</v>
      </c>
      <c r="AC109" s="19" t="s">
        <v>391</v>
      </c>
    </row>
  </sheetData>
  <mergeCells count="32">
    <mergeCell ref="B96:U96"/>
    <mergeCell ref="B97:U97"/>
    <mergeCell ref="B75:U75"/>
    <mergeCell ref="B92:U92"/>
    <mergeCell ref="B93:U93"/>
    <mergeCell ref="D94:U94"/>
    <mergeCell ref="D95:U95"/>
    <mergeCell ref="B70:U70"/>
    <mergeCell ref="B71:U71"/>
    <mergeCell ref="D72:U72"/>
    <mergeCell ref="D73:U73"/>
    <mergeCell ref="B74:U74"/>
    <mergeCell ref="B49:U49"/>
    <mergeCell ref="D50:U50"/>
    <mergeCell ref="D51:U51"/>
    <mergeCell ref="B52:U52"/>
    <mergeCell ref="B53:U53"/>
    <mergeCell ref="D28:U28"/>
    <mergeCell ref="D29:U29"/>
    <mergeCell ref="B30:U30"/>
    <mergeCell ref="B31:U31"/>
    <mergeCell ref="B48:U48"/>
    <mergeCell ref="D7:U7"/>
    <mergeCell ref="B8:U8"/>
    <mergeCell ref="B9:U9"/>
    <mergeCell ref="B26:U26"/>
    <mergeCell ref="B27:U27"/>
    <mergeCell ref="A1:U1"/>
    <mergeCell ref="A2:U2"/>
    <mergeCell ref="B4:U4"/>
    <mergeCell ref="B5:U5"/>
    <mergeCell ref="D6:U6"/>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heetView>
  </sheetViews>
  <sheetFormatPr defaultColWidth="8.6640625" defaultRowHeight="14.4" x14ac:dyDescent="0.3"/>
  <cols>
    <col min="1" max="5" width="16" customWidth="1"/>
    <col min="6" max="6" width="40" customWidth="1"/>
  </cols>
  <sheetData>
    <row r="1" spans="1:6" ht="21" customHeight="1" x14ac:dyDescent="0.4">
      <c r="A1" s="6" t="s">
        <v>10</v>
      </c>
      <c r="B1" s="6"/>
      <c r="C1" s="6"/>
      <c r="D1" s="6"/>
      <c r="E1" s="6"/>
      <c r="F1" s="6"/>
    </row>
    <row r="2" spans="1:6" x14ac:dyDescent="0.3">
      <c r="A2" s="5" t="s">
        <v>392</v>
      </c>
      <c r="B2" s="5"/>
      <c r="C2" s="5"/>
      <c r="D2" s="5"/>
      <c r="E2" s="5"/>
      <c r="F2" s="5"/>
    </row>
    <row r="4" spans="1:6" ht="27" customHeight="1" x14ac:dyDescent="0.3">
      <c r="A4" s="33" t="s">
        <v>393</v>
      </c>
      <c r="B4" s="33" t="s">
        <v>394</v>
      </c>
      <c r="C4" s="33" t="s">
        <v>395</v>
      </c>
      <c r="D4" s="33" t="s">
        <v>396</v>
      </c>
      <c r="E4" s="33" t="s">
        <v>397</v>
      </c>
      <c r="F4" s="33" t="s">
        <v>398</v>
      </c>
    </row>
    <row r="5" spans="1:6" ht="26.25" customHeight="1" x14ac:dyDescent="0.3">
      <c r="A5" s="28" t="s">
        <v>274</v>
      </c>
      <c r="B5" s="28" t="s">
        <v>74</v>
      </c>
      <c r="C5" s="28" t="s">
        <v>55</v>
      </c>
      <c r="D5" s="28" t="s">
        <v>74</v>
      </c>
      <c r="E5" s="28" t="s">
        <v>399</v>
      </c>
      <c r="F5" s="28" t="s">
        <v>400</v>
      </c>
    </row>
    <row r="6" spans="1:6" ht="26.4" x14ac:dyDescent="0.3">
      <c r="A6" s="28" t="s">
        <v>274</v>
      </c>
      <c r="B6" s="28" t="s">
        <v>299</v>
      </c>
      <c r="C6" s="28" t="s">
        <v>243</v>
      </c>
      <c r="D6" s="28" t="s">
        <v>249</v>
      </c>
      <c r="E6" s="28" t="s">
        <v>401</v>
      </c>
      <c r="F6" s="28" t="s">
        <v>402</v>
      </c>
    </row>
    <row r="7" spans="1:6" ht="26.4" x14ac:dyDescent="0.3">
      <c r="A7" s="28" t="s">
        <v>274</v>
      </c>
      <c r="B7" s="28" t="s">
        <v>300</v>
      </c>
      <c r="C7" s="28" t="s">
        <v>243</v>
      </c>
      <c r="D7" s="28" t="s">
        <v>249</v>
      </c>
      <c r="E7" s="28" t="s">
        <v>401</v>
      </c>
      <c r="F7" s="28" t="s">
        <v>403</v>
      </c>
    </row>
    <row r="8" spans="1:6" ht="26.4" x14ac:dyDescent="0.3">
      <c r="A8" s="28" t="s">
        <v>274</v>
      </c>
      <c r="B8" s="28" t="s">
        <v>301</v>
      </c>
      <c r="C8" s="28" t="s">
        <v>243</v>
      </c>
      <c r="D8" s="28" t="s">
        <v>249</v>
      </c>
      <c r="E8" s="28" t="s">
        <v>401</v>
      </c>
      <c r="F8" s="28" t="s">
        <v>404</v>
      </c>
    </row>
    <row r="9" spans="1:6" ht="66" x14ac:dyDescent="0.3">
      <c r="A9" s="28" t="s">
        <v>274</v>
      </c>
      <c r="B9" s="28" t="s">
        <v>302</v>
      </c>
      <c r="C9" s="28" t="s">
        <v>243</v>
      </c>
      <c r="D9" s="28" t="s">
        <v>249</v>
      </c>
      <c r="E9" s="28" t="s">
        <v>401</v>
      </c>
      <c r="F9" s="28" t="s">
        <v>405</v>
      </c>
    </row>
    <row r="10" spans="1:6" ht="26.4" x14ac:dyDescent="0.3">
      <c r="A10" s="28" t="s">
        <v>55</v>
      </c>
      <c r="B10" s="28" t="s">
        <v>101</v>
      </c>
      <c r="C10" s="28" t="s">
        <v>243</v>
      </c>
      <c r="D10" s="28" t="s">
        <v>249</v>
      </c>
      <c r="E10" s="28" t="s">
        <v>401</v>
      </c>
      <c r="F10" s="28" t="s">
        <v>406</v>
      </c>
    </row>
    <row r="11" spans="1:6" ht="26.4" x14ac:dyDescent="0.3">
      <c r="A11" s="28" t="s">
        <v>55</v>
      </c>
      <c r="B11" s="28" t="s">
        <v>102</v>
      </c>
      <c r="C11" s="28" t="s">
        <v>243</v>
      </c>
      <c r="D11" s="28" t="s">
        <v>249</v>
      </c>
      <c r="E11" s="28" t="s">
        <v>401</v>
      </c>
      <c r="F11" s="28" t="s">
        <v>407</v>
      </c>
    </row>
    <row r="12" spans="1:6" ht="79.2" x14ac:dyDescent="0.3">
      <c r="A12" s="28" t="s">
        <v>274</v>
      </c>
      <c r="B12" s="28" t="s">
        <v>303</v>
      </c>
      <c r="C12" s="28" t="s">
        <v>212</v>
      </c>
      <c r="D12" s="28" t="s">
        <v>218</v>
      </c>
      <c r="E12" s="28" t="s">
        <v>401</v>
      </c>
      <c r="F12" s="28" t="s">
        <v>408</v>
      </c>
    </row>
    <row r="13" spans="1:6" ht="105.6" x14ac:dyDescent="0.3">
      <c r="A13" s="28" t="s">
        <v>55</v>
      </c>
      <c r="B13" s="28" t="s">
        <v>409</v>
      </c>
      <c r="C13" s="28" t="s">
        <v>212</v>
      </c>
      <c r="D13" s="28" t="s">
        <v>219</v>
      </c>
      <c r="E13" s="28" t="s">
        <v>410</v>
      </c>
      <c r="F13" s="28" t="s">
        <v>411</v>
      </c>
    </row>
    <row r="14" spans="1:6" ht="66" x14ac:dyDescent="0.3">
      <c r="A14" s="28" t="s">
        <v>274</v>
      </c>
      <c r="B14" s="28" t="s">
        <v>264</v>
      </c>
      <c r="C14" s="28" t="s">
        <v>258</v>
      </c>
      <c r="D14" s="28" t="s">
        <v>264</v>
      </c>
      <c r="E14" s="28" t="s">
        <v>410</v>
      </c>
      <c r="F14" s="28" t="s">
        <v>412</v>
      </c>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6" t="s">
        <v>12</v>
      </c>
      <c r="B1" s="6"/>
      <c r="C1" s="6"/>
      <c r="D1" s="6"/>
      <c r="E1" s="6"/>
      <c r="F1" s="6"/>
    </row>
    <row r="2" spans="1:6" x14ac:dyDescent="0.3">
      <c r="A2" s="5" t="s">
        <v>413</v>
      </c>
      <c r="B2" s="5"/>
      <c r="C2" s="5"/>
      <c r="D2" s="5"/>
      <c r="E2" s="5"/>
      <c r="F2" s="5"/>
    </row>
    <row r="4" spans="1:6" ht="27" customHeight="1" x14ac:dyDescent="0.3">
      <c r="A4" s="33" t="s">
        <v>414</v>
      </c>
      <c r="B4" s="33" t="s">
        <v>415</v>
      </c>
      <c r="C4" s="33" t="s">
        <v>416</v>
      </c>
      <c r="D4" s="33" t="s">
        <v>417</v>
      </c>
      <c r="E4" s="33" t="s">
        <v>418</v>
      </c>
      <c r="F4" s="33" t="s">
        <v>419</v>
      </c>
    </row>
    <row r="5" spans="1:6" ht="39" customHeight="1" x14ac:dyDescent="0.3">
      <c r="A5" s="34">
        <v>1</v>
      </c>
      <c r="B5" s="28" t="s">
        <v>420</v>
      </c>
      <c r="C5" s="28" t="s">
        <v>421</v>
      </c>
      <c r="D5" s="28" t="s">
        <v>422</v>
      </c>
      <c r="E5" s="28" t="s">
        <v>423</v>
      </c>
      <c r="F5" s="28" t="s">
        <v>424</v>
      </c>
    </row>
    <row r="6" spans="1:6" ht="79.2" x14ac:dyDescent="0.3">
      <c r="A6" s="28">
        <f t="shared" ref="A6:A20" si="0">ROW()-5</f>
        <v>1</v>
      </c>
      <c r="B6" s="28" t="s">
        <v>425</v>
      </c>
      <c r="C6" s="28" t="s">
        <v>426</v>
      </c>
      <c r="D6" s="28" t="s">
        <v>427</v>
      </c>
      <c r="E6" s="28" t="s">
        <v>428</v>
      </c>
      <c r="F6" s="28" t="s">
        <v>424</v>
      </c>
    </row>
    <row r="7" spans="1:6" ht="79.2" x14ac:dyDescent="0.3">
      <c r="A7" s="28">
        <f t="shared" si="0"/>
        <v>2</v>
      </c>
      <c r="B7" s="28" t="s">
        <v>429</v>
      </c>
      <c r="C7" s="28" t="s">
        <v>430</v>
      </c>
      <c r="D7" s="28" t="s">
        <v>427</v>
      </c>
      <c r="E7" s="28" t="s">
        <v>431</v>
      </c>
      <c r="F7" s="28" t="s">
        <v>424</v>
      </c>
    </row>
    <row r="8" spans="1:6" ht="79.2" x14ac:dyDescent="0.3">
      <c r="A8" s="28">
        <f t="shared" si="0"/>
        <v>3</v>
      </c>
      <c r="B8" s="28" t="s">
        <v>432</v>
      </c>
      <c r="C8" s="28" t="s">
        <v>433</v>
      </c>
      <c r="D8" s="28" t="s">
        <v>422</v>
      </c>
      <c r="E8" s="28" t="s">
        <v>434</v>
      </c>
      <c r="F8" s="28" t="s">
        <v>424</v>
      </c>
    </row>
    <row r="9" spans="1:6" ht="66" x14ac:dyDescent="0.3">
      <c r="A9" s="28">
        <f t="shared" si="0"/>
        <v>4</v>
      </c>
      <c r="B9" s="28" t="s">
        <v>435</v>
      </c>
      <c r="C9" s="28" t="s">
        <v>436</v>
      </c>
      <c r="D9" s="28" t="s">
        <v>427</v>
      </c>
      <c r="E9" s="28" t="s">
        <v>437</v>
      </c>
      <c r="F9" s="28" t="s">
        <v>424</v>
      </c>
    </row>
    <row r="10" spans="1:6" ht="92.4" x14ac:dyDescent="0.3">
      <c r="A10" s="28">
        <f t="shared" si="0"/>
        <v>5</v>
      </c>
      <c r="B10" s="28" t="s">
        <v>438</v>
      </c>
      <c r="C10" s="28" t="s">
        <v>439</v>
      </c>
      <c r="D10" s="28" t="s">
        <v>422</v>
      </c>
      <c r="E10" s="28" t="s">
        <v>440</v>
      </c>
      <c r="F10" s="28" t="s">
        <v>424</v>
      </c>
    </row>
    <row r="11" spans="1:6" ht="79.2" x14ac:dyDescent="0.3">
      <c r="A11" s="28">
        <f t="shared" si="0"/>
        <v>6</v>
      </c>
      <c r="B11" s="28" t="s">
        <v>441</v>
      </c>
      <c r="C11" s="28" t="s">
        <v>442</v>
      </c>
      <c r="D11" s="28" t="s">
        <v>427</v>
      </c>
      <c r="E11" s="28" t="s">
        <v>443</v>
      </c>
      <c r="F11" s="28" t="s">
        <v>424</v>
      </c>
    </row>
    <row r="12" spans="1:6" ht="39.6" x14ac:dyDescent="0.3">
      <c r="A12" s="28">
        <f t="shared" si="0"/>
        <v>7</v>
      </c>
      <c r="B12" s="28" t="s">
        <v>444</v>
      </c>
      <c r="C12" s="28" t="s">
        <v>445</v>
      </c>
      <c r="D12" s="28" t="s">
        <v>427</v>
      </c>
      <c r="E12" s="28" t="s">
        <v>446</v>
      </c>
      <c r="F12" s="28" t="s">
        <v>424</v>
      </c>
    </row>
    <row r="13" spans="1:6" x14ac:dyDescent="0.3">
      <c r="A13" s="28">
        <f t="shared" si="0"/>
        <v>8</v>
      </c>
      <c r="B13" s="28"/>
      <c r="C13" s="28"/>
      <c r="D13" s="28"/>
      <c r="E13" s="28"/>
      <c r="F13" s="28"/>
    </row>
    <row r="14" spans="1:6" x14ac:dyDescent="0.3">
      <c r="A14" s="28">
        <f t="shared" si="0"/>
        <v>9</v>
      </c>
      <c r="B14" s="28"/>
      <c r="C14" s="28"/>
      <c r="D14" s="28"/>
      <c r="E14" s="28"/>
      <c r="F14" s="28"/>
    </row>
    <row r="15" spans="1:6" x14ac:dyDescent="0.3">
      <c r="A15" s="28">
        <f t="shared" si="0"/>
        <v>10</v>
      </c>
      <c r="B15" s="28"/>
      <c r="C15" s="28"/>
      <c r="D15" s="28"/>
      <c r="E15" s="28"/>
      <c r="F15" s="28"/>
    </row>
    <row r="16" spans="1:6" x14ac:dyDescent="0.3">
      <c r="A16" s="28">
        <f t="shared" si="0"/>
        <v>11</v>
      </c>
      <c r="B16" s="28"/>
      <c r="C16" s="28"/>
      <c r="D16" s="28"/>
      <c r="E16" s="28"/>
      <c r="F16" s="28"/>
    </row>
    <row r="17" spans="1:6" x14ac:dyDescent="0.3">
      <c r="A17" s="28">
        <f t="shared" si="0"/>
        <v>12</v>
      </c>
      <c r="B17" s="28"/>
      <c r="C17" s="28"/>
      <c r="D17" s="28"/>
      <c r="E17" s="28"/>
      <c r="F17" s="28"/>
    </row>
    <row r="18" spans="1:6" x14ac:dyDescent="0.3">
      <c r="A18" s="28">
        <f t="shared" si="0"/>
        <v>13</v>
      </c>
      <c r="B18" s="28"/>
      <c r="C18" s="28"/>
      <c r="D18" s="28"/>
      <c r="E18" s="28"/>
      <c r="F18" s="28"/>
    </row>
    <row r="19" spans="1:6" x14ac:dyDescent="0.3">
      <c r="A19" s="28">
        <f t="shared" si="0"/>
        <v>14</v>
      </c>
      <c r="B19" s="28"/>
      <c r="C19" s="28"/>
      <c r="D19" s="28"/>
      <c r="E19" s="28"/>
      <c r="F19" s="28"/>
    </row>
    <row r="20" spans="1:6" x14ac:dyDescent="0.3">
      <c r="A20" s="28">
        <f t="shared" si="0"/>
        <v>15</v>
      </c>
      <c r="B20" s="28"/>
      <c r="C20" s="28"/>
      <c r="D20" s="28"/>
      <c r="E20" s="28"/>
      <c r="F20" s="28"/>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7" t="s">
        <v>14</v>
      </c>
    </row>
    <row r="3" spans="2:3" ht="27.75" customHeight="1" x14ac:dyDescent="0.3">
      <c r="B3" s="8" t="s">
        <v>447</v>
      </c>
    </row>
    <row r="5" spans="2:3" x14ac:dyDescent="0.3">
      <c r="B5" s="35" t="s">
        <v>448</v>
      </c>
      <c r="C5" s="11">
        <f>COUNTA('1. Data Dictionary'!B4,'1. Data Dictionary'!B26,'1. Data Dictionary'!B48,'1. Data Dictionary'!B70,'1. Data Dictionary'!B92)</f>
        <v>5</v>
      </c>
    </row>
    <row r="6" spans="2:3" x14ac:dyDescent="0.3">
      <c r="B6" s="35" t="s">
        <v>449</v>
      </c>
      <c r="C6" s="36">
        <f>SUM('1. Data Dictionary'!B11,'1. Data Dictionary'!B33,'1. Data Dictionary'!B55,'1. Data Dictionary'!B77,'1. Data Dictionary'!B99)</f>
        <v>290316</v>
      </c>
    </row>
    <row r="7" spans="2:3" x14ac:dyDescent="0.3">
      <c r="B7" s="35" t="s">
        <v>450</v>
      </c>
      <c r="C7" s="11">
        <f>SUM('1. Data Dictionary'!C11,'1. Data Dictionary'!C33,'1. Data Dictionary'!C55,'1. Data Dictionary'!C77,'1. Data Dictionary'!C99)</f>
        <v>71</v>
      </c>
    </row>
    <row r="8" spans="2:3" x14ac:dyDescent="0.3">
      <c r="B8" s="35" t="s">
        <v>451</v>
      </c>
      <c r="C8" s="11">
        <f>COUNTIF('3. Data Quality Log'!F5:F20,"Open")</f>
        <v>8</v>
      </c>
    </row>
    <row r="10" spans="2:3" ht="39.75" customHeight="1" x14ac:dyDescent="0.3">
      <c r="B10" s="9" t="s">
        <v>452</v>
      </c>
      <c r="C10" s="37" t="s">
        <v>453</v>
      </c>
    </row>
    <row r="11" spans="2:3" ht="39.75" customHeight="1" x14ac:dyDescent="0.3">
      <c r="B11" s="9" t="s">
        <v>454</v>
      </c>
      <c r="C11" s="37" t="s">
        <v>455</v>
      </c>
    </row>
    <row r="12" spans="2:3" ht="39.75" customHeight="1" x14ac:dyDescent="0.3">
      <c r="B12" s="9" t="s">
        <v>456</v>
      </c>
      <c r="C12" s="37" t="s">
        <v>457</v>
      </c>
    </row>
    <row r="13" spans="2:3" ht="39.75" customHeight="1" x14ac:dyDescent="0.3">
      <c r="B13" s="9" t="s">
        <v>458</v>
      </c>
      <c r="C13" s="37" t="s">
        <v>459</v>
      </c>
    </row>
    <row r="14" spans="2:3" ht="39.75" customHeight="1" x14ac:dyDescent="0.3">
      <c r="B14" s="9" t="s">
        <v>460</v>
      </c>
      <c r="C14" s="37" t="s">
        <v>461</v>
      </c>
    </row>
    <row r="16" spans="2:3" x14ac:dyDescent="0.3">
      <c r="B16" s="35" t="s">
        <v>462</v>
      </c>
      <c r="C16" s="38" t="s">
        <v>463</v>
      </c>
    </row>
    <row r="17" spans="2:3" x14ac:dyDescent="0.3">
      <c r="B17" s="35" t="s">
        <v>464</v>
      </c>
      <c r="C17" s="38" t="s">
        <v>42</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Naveed M</cp:lastModifiedBy>
  <cp:revision>0</cp:revision>
  <dcterms:created xsi:type="dcterms:W3CDTF">2026-08-03T06:53:21Z</dcterms:created>
  <dcterms:modified xsi:type="dcterms:W3CDTF">2026-09-23T06:14:53Z</dcterms:modified>
  <dc:language>en-US</dc:language>
</cp:coreProperties>
</file>